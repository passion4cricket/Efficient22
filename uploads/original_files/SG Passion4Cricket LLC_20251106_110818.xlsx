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9040" windowHeight="15720" activeTab="1"/>
  </bookViews>
  <sheets>
    <sheet name="SG" sheetId="1" r:id="rId1"/>
    <sheet name="SG Pricing Mainsheet" sheetId="2" r:id="rId2"/>
    <sheet name="Sheet4" sheetId="3" state="hidden" r:id="rId3"/>
  </sheets>
  <definedNames>
    <definedName name="_xlnm._FilterDatabase" localSheetId="1" hidden="1">'SG Pricing Mainsheet'!$A$1:$C$161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y1jAKBt2FzgElqrpZfaZIagJ9LnMjLWb6NbPfQO3aQI="/>
    </ext>
  </extLst>
</workbook>
</file>

<file path=xl/calcChain.xml><?xml version="1.0" encoding="utf-8"?>
<calcChain xmlns="http://schemas.openxmlformats.org/spreadsheetml/2006/main">
  <c r="AG162" i="3"/>
  <c r="AH162" s="1"/>
  <c r="AI162" s="1"/>
  <c r="AH161"/>
  <c r="AI161" s="1"/>
  <c r="AG161"/>
  <c r="AG160"/>
  <c r="AH160" s="1"/>
  <c r="AI160" s="1"/>
  <c r="AI159"/>
  <c r="AG159"/>
  <c r="AH159" s="1"/>
  <c r="AG158"/>
  <c r="AH158" s="1"/>
  <c r="AI158" s="1"/>
  <c r="AG157"/>
  <c r="AH157" s="1"/>
  <c r="AI157" s="1"/>
  <c r="AH156"/>
  <c r="AI156" s="1"/>
  <c r="AG156"/>
  <c r="AG155"/>
  <c r="AH155" s="1"/>
  <c r="AI155" s="1"/>
  <c r="AG154"/>
  <c r="AH154" s="1"/>
  <c r="AI154" s="1"/>
  <c r="AG153"/>
  <c r="AH153" s="1"/>
  <c r="AI153" s="1"/>
  <c r="AI152"/>
  <c r="AG152"/>
  <c r="AH152" s="1"/>
  <c r="AH151"/>
  <c r="AI151" s="1"/>
  <c r="AG151"/>
  <c r="AG150"/>
  <c r="AH150" s="1"/>
  <c r="AI150" s="1"/>
  <c r="AG149"/>
  <c r="AH149" s="1"/>
  <c r="AI149" s="1"/>
  <c r="AG148"/>
  <c r="AH148" s="1"/>
  <c r="AI148" s="1"/>
  <c r="AG147"/>
  <c r="AH147" s="1"/>
  <c r="AI147" s="1"/>
  <c r="AG146"/>
  <c r="AH146" s="1"/>
  <c r="AI146" s="1"/>
  <c r="AH145"/>
  <c r="AI145" s="1"/>
  <c r="AG145"/>
  <c r="AG144"/>
  <c r="AH144" s="1"/>
  <c r="AI144" s="1"/>
  <c r="AH143"/>
  <c r="AI143" s="1"/>
  <c r="AG143"/>
  <c r="AG142"/>
  <c r="AH142" s="1"/>
  <c r="AI142" s="1"/>
  <c r="AG141"/>
  <c r="AH141" s="1"/>
  <c r="AI141" s="1"/>
  <c r="AH140"/>
  <c r="AI140" s="1"/>
  <c r="AG140"/>
  <c r="AG139"/>
  <c r="AH139" s="1"/>
  <c r="AI139" s="1"/>
  <c r="AG138"/>
  <c r="AH138" s="1"/>
  <c r="AI138" s="1"/>
  <c r="AH137"/>
  <c r="AI137" s="1"/>
  <c r="AG137"/>
  <c r="AG136"/>
  <c r="AH136" s="1"/>
  <c r="AI136" s="1"/>
  <c r="AH135"/>
  <c r="AI135" s="1"/>
  <c r="AG135"/>
  <c r="AG134"/>
  <c r="AH134" s="1"/>
  <c r="AI134" s="1"/>
  <c r="AG133"/>
  <c r="AH133" s="1"/>
  <c r="AI133" s="1"/>
  <c r="AG132"/>
  <c r="AH132" s="1"/>
  <c r="AI132" s="1"/>
  <c r="AI131"/>
  <c r="AG131"/>
  <c r="AH131" s="1"/>
  <c r="AG130"/>
  <c r="AH130" s="1"/>
  <c r="AI130" s="1"/>
  <c r="AH129"/>
  <c r="AI129" s="1"/>
  <c r="AG129"/>
  <c r="AG128"/>
  <c r="AH128" s="1"/>
  <c r="AI128" s="1"/>
  <c r="AG127"/>
  <c r="AH127" s="1"/>
  <c r="AI127" s="1"/>
  <c r="AG126"/>
  <c r="AH126" s="1"/>
  <c r="AI126" s="1"/>
  <c r="AG125"/>
  <c r="AH125" s="1"/>
  <c r="AI125" s="1"/>
  <c r="AH124"/>
  <c r="AI124" s="1"/>
  <c r="AG124"/>
  <c r="AG123"/>
  <c r="AH123" s="1"/>
  <c r="AI123" s="1"/>
  <c r="AG122"/>
  <c r="AH122" s="1"/>
  <c r="AI122" s="1"/>
  <c r="AG121"/>
  <c r="AH121" s="1"/>
  <c r="AI121" s="1"/>
  <c r="AH120"/>
  <c r="AI120" s="1"/>
  <c r="AG120"/>
  <c r="AH119"/>
  <c r="AI119" s="1"/>
  <c r="AG119"/>
  <c r="AG118"/>
  <c r="AH118" s="1"/>
  <c r="AI118" s="1"/>
  <c r="AG117"/>
  <c r="AH117" s="1"/>
  <c r="AI117" s="1"/>
  <c r="AI116"/>
  <c r="AG116"/>
  <c r="AH116" s="1"/>
  <c r="AH115"/>
  <c r="AI115" s="1"/>
  <c r="AG115"/>
  <c r="AG114"/>
  <c r="AH114" s="1"/>
  <c r="AI114" s="1"/>
  <c r="AH113"/>
  <c r="AI113" s="1"/>
  <c r="AG113"/>
  <c r="AG112"/>
  <c r="AH112" s="1"/>
  <c r="AI112" s="1"/>
  <c r="AG111"/>
  <c r="AH111" s="1"/>
  <c r="AI111" s="1"/>
  <c r="AG110"/>
  <c r="AH110" s="1"/>
  <c r="AI110" s="1"/>
  <c r="AG109"/>
  <c r="AH109" s="1"/>
  <c r="AI109" s="1"/>
  <c r="AI108"/>
  <c r="AH108"/>
  <c r="AG108"/>
  <c r="AG107"/>
  <c r="AH107" s="1"/>
  <c r="AI107" s="1"/>
  <c r="AG106"/>
  <c r="AH106" s="1"/>
  <c r="AI106" s="1"/>
  <c r="AG105"/>
  <c r="AH105" s="1"/>
  <c r="AI105" s="1"/>
  <c r="AH104"/>
  <c r="AI104" s="1"/>
  <c r="AG104"/>
  <c r="AH103"/>
  <c r="AI103" s="1"/>
  <c r="AG103"/>
  <c r="AG102"/>
  <c r="AH102" s="1"/>
  <c r="AI102" s="1"/>
  <c r="AG101"/>
  <c r="AH101" s="1"/>
  <c r="AI101" s="1"/>
  <c r="AI100"/>
  <c r="AH100"/>
  <c r="AG100"/>
  <c r="AG99"/>
  <c r="AH99" s="1"/>
  <c r="AI99" s="1"/>
  <c r="AG98"/>
  <c r="AH98" s="1"/>
  <c r="AI98" s="1"/>
  <c r="AH97"/>
  <c r="AI97" s="1"/>
  <c r="AG97"/>
  <c r="AG96"/>
  <c r="AH96" s="1"/>
  <c r="AI96" s="1"/>
  <c r="AI95"/>
  <c r="AG95"/>
  <c r="AH95" s="1"/>
  <c r="AG94"/>
  <c r="AH94" s="1"/>
  <c r="AI94" s="1"/>
  <c r="AG93"/>
  <c r="AH93" s="1"/>
  <c r="AI93" s="1"/>
  <c r="AH92"/>
  <c r="AI92" s="1"/>
  <c r="AG92"/>
  <c r="AG91"/>
  <c r="AH91" s="1"/>
  <c r="AI91" s="1"/>
  <c r="AG90"/>
  <c r="AH90" s="1"/>
  <c r="AI90" s="1"/>
  <c r="AH89"/>
  <c r="AI89" s="1"/>
  <c r="AG89"/>
  <c r="AI88"/>
  <c r="AH88"/>
  <c r="AG88"/>
  <c r="AI87"/>
  <c r="AH87"/>
  <c r="AG87"/>
  <c r="AG86"/>
  <c r="AH86" s="1"/>
  <c r="AI86" s="1"/>
  <c r="AG85"/>
  <c r="AH85" s="1"/>
  <c r="AI85" s="1"/>
  <c r="AG84"/>
  <c r="AH84" s="1"/>
  <c r="AI84" s="1"/>
  <c r="AG83"/>
  <c r="AH83" s="1"/>
  <c r="AI83" s="1"/>
  <c r="AG82"/>
  <c r="AH82" s="1"/>
  <c r="AI82" s="1"/>
  <c r="AG81"/>
  <c r="AH81" s="1"/>
  <c r="AI81" s="1"/>
  <c r="AG80"/>
  <c r="AH80" s="1"/>
  <c r="AI80" s="1"/>
  <c r="AH79"/>
  <c r="AI79" s="1"/>
  <c r="AG79"/>
  <c r="AG78"/>
  <c r="AH78" s="1"/>
  <c r="AI78" s="1"/>
  <c r="AI77"/>
  <c r="AH77"/>
  <c r="AG77"/>
  <c r="AG76"/>
  <c r="AH76" s="1"/>
  <c r="AI76" s="1"/>
  <c r="AG75"/>
  <c r="AH75" s="1"/>
  <c r="AI75" s="1"/>
  <c r="AG74"/>
  <c r="AH74" s="1"/>
  <c r="AI74" s="1"/>
  <c r="AI73"/>
  <c r="AG73"/>
  <c r="AH73" s="1"/>
  <c r="AG72"/>
  <c r="AH72" s="1"/>
  <c r="AI72" s="1"/>
  <c r="AH71"/>
  <c r="AI71" s="1"/>
  <c r="AG71"/>
  <c r="AG70"/>
  <c r="AH70" s="1"/>
  <c r="AI70" s="1"/>
  <c r="AG69"/>
  <c r="AH69" s="1"/>
  <c r="AI69" s="1"/>
  <c r="AH68"/>
  <c r="AI68" s="1"/>
  <c r="AG68"/>
  <c r="AG67"/>
  <c r="AH67" s="1"/>
  <c r="AI67" s="1"/>
  <c r="AG66"/>
  <c r="AH66" s="1"/>
  <c r="AI66" s="1"/>
  <c r="AH65"/>
  <c r="AI65" s="1"/>
  <c r="AG65"/>
  <c r="AG64"/>
  <c r="AH64" s="1"/>
  <c r="AI64" s="1"/>
  <c r="AI63"/>
  <c r="AH63"/>
  <c r="AG63"/>
  <c r="AG62"/>
  <c r="AH62" s="1"/>
  <c r="AI62" s="1"/>
  <c r="AH61"/>
  <c r="AI61" s="1"/>
  <c r="AG61"/>
  <c r="AI60"/>
  <c r="AH60"/>
  <c r="AG60"/>
  <c r="AG59"/>
  <c r="AH59" s="1"/>
  <c r="AI59" s="1"/>
  <c r="AG58"/>
  <c r="AH58" s="1"/>
  <c r="AI58" s="1"/>
  <c r="AG57"/>
  <c r="AH57" s="1"/>
  <c r="AI57" s="1"/>
  <c r="AG56"/>
  <c r="AH56" s="1"/>
  <c r="AI56" s="1"/>
  <c r="AG55"/>
  <c r="AH55" s="1"/>
  <c r="AI55" s="1"/>
  <c r="AG54"/>
  <c r="AH54" s="1"/>
  <c r="AI54" s="1"/>
  <c r="AH53"/>
  <c r="AI53" s="1"/>
  <c r="AG53"/>
  <c r="AH52"/>
  <c r="AI52" s="1"/>
  <c r="AG52"/>
  <c r="AG51"/>
  <c r="AH51" s="1"/>
  <c r="AI51" s="1"/>
  <c r="AG50"/>
  <c r="AH50" s="1"/>
  <c r="AI50" s="1"/>
  <c r="AG49"/>
  <c r="AH49" s="1"/>
  <c r="AI49" s="1"/>
  <c r="AG48"/>
  <c r="AH48" s="1"/>
  <c r="AI48" s="1"/>
  <c r="AG47"/>
  <c r="AH47" s="1"/>
  <c r="AI47" s="1"/>
  <c r="AG46"/>
  <c r="AH46" s="1"/>
  <c r="AI46" s="1"/>
  <c r="AI45"/>
  <c r="AH45"/>
  <c r="AG45"/>
  <c r="AG44"/>
  <c r="AH44" s="1"/>
  <c r="AI44" s="1"/>
  <c r="AG43"/>
  <c r="AH43" s="1"/>
  <c r="AI43" s="1"/>
  <c r="AG42"/>
  <c r="AH42" s="1"/>
  <c r="AI42" s="1"/>
  <c r="AG41"/>
  <c r="AH41" s="1"/>
  <c r="AI41" s="1"/>
  <c r="AH40"/>
  <c r="AI40" s="1"/>
  <c r="AG40"/>
  <c r="AH39"/>
  <c r="AI39" s="1"/>
  <c r="AG39"/>
  <c r="AG38"/>
  <c r="AH38" s="1"/>
  <c r="AI38" s="1"/>
  <c r="AG37"/>
  <c r="AH37" s="1"/>
  <c r="AI37" s="1"/>
  <c r="AH36"/>
  <c r="AI36" s="1"/>
  <c r="AG36"/>
  <c r="AH35"/>
  <c r="AI35" s="1"/>
  <c r="AG35"/>
  <c r="AG34"/>
  <c r="AH34" s="1"/>
  <c r="AI34" s="1"/>
  <c r="AG33"/>
  <c r="AH33" s="1"/>
  <c r="AI33" s="1"/>
  <c r="AI32"/>
  <c r="AG32"/>
  <c r="AH32" s="1"/>
  <c r="AG31"/>
  <c r="AH31" s="1"/>
  <c r="AI31" s="1"/>
  <c r="AG30"/>
  <c r="AH30" s="1"/>
  <c r="AI30" s="1"/>
  <c r="AH29"/>
  <c r="AI29" s="1"/>
  <c r="AG29"/>
  <c r="AG28"/>
  <c r="AH28" s="1"/>
  <c r="AI28" s="1"/>
  <c r="AI27"/>
  <c r="AG27"/>
  <c r="AH27" s="1"/>
  <c r="AG26"/>
  <c r="AH26" s="1"/>
  <c r="AI26" s="1"/>
  <c r="AH25"/>
  <c r="AI25" s="1"/>
  <c r="AG25"/>
  <c r="AG24"/>
  <c r="AH24" s="1"/>
  <c r="AI24" s="1"/>
  <c r="AG23"/>
  <c r="AH23" s="1"/>
  <c r="AI23" s="1"/>
  <c r="AG22"/>
  <c r="AH22" s="1"/>
  <c r="AI22" s="1"/>
  <c r="AG21"/>
  <c r="AH21" s="1"/>
  <c r="AI21" s="1"/>
  <c r="AI20"/>
  <c r="AH20"/>
  <c r="AG20"/>
  <c r="AG19"/>
  <c r="AH19" s="1"/>
  <c r="AI19" s="1"/>
  <c r="AG18"/>
  <c r="AH18" s="1"/>
  <c r="AI18" s="1"/>
  <c r="AH17"/>
  <c r="AI17" s="1"/>
  <c r="AG17"/>
  <c r="AG16"/>
  <c r="AH16" s="1"/>
  <c r="AI16" s="1"/>
  <c r="AH15"/>
  <c r="AI15" s="1"/>
  <c r="AG15"/>
  <c r="AG14"/>
  <c r="AH14" s="1"/>
  <c r="AI14" s="1"/>
  <c r="AI13"/>
  <c r="AH13"/>
  <c r="AG13"/>
  <c r="AG12"/>
  <c r="AH12" s="1"/>
  <c r="AI12" s="1"/>
  <c r="AG11"/>
  <c r="AH11" s="1"/>
  <c r="AI11" s="1"/>
  <c r="AG10"/>
  <c r="AH10" s="1"/>
  <c r="AI10" s="1"/>
  <c r="AG9"/>
  <c r="AH9" s="1"/>
  <c r="AI9" s="1"/>
  <c r="AG8"/>
  <c r="AH8" s="1"/>
  <c r="AI8" s="1"/>
  <c r="AG7"/>
  <c r="AH7" s="1"/>
  <c r="AI7" s="1"/>
  <c r="AG6"/>
  <c r="AH6" s="1"/>
  <c r="AI6" s="1"/>
  <c r="AH5"/>
  <c r="AI5" s="1"/>
  <c r="AG5"/>
  <c r="AJ4"/>
  <c r="AI4"/>
  <c r="AG4"/>
  <c r="AH4" s="1"/>
  <c r="AF2"/>
  <c r="AI2" l="1"/>
</calcChain>
</file>

<file path=xl/sharedStrings.xml><?xml version="1.0" encoding="utf-8"?>
<sst xmlns="http://schemas.openxmlformats.org/spreadsheetml/2006/main" count="4179" uniqueCount="793">
  <si>
    <t>https://shop.teamsg.in/</t>
  </si>
  <si>
    <t>https://bestcricketstore.com/</t>
  </si>
  <si>
    <t>https://www.criclanes.com/</t>
  </si>
  <si>
    <t>SKU Code</t>
  </si>
  <si>
    <t>Product Name</t>
  </si>
  <si>
    <t>Main Category</t>
  </si>
  <si>
    <t>Category</t>
  </si>
  <si>
    <t>Style/Range Name</t>
  </si>
  <si>
    <t>Description</t>
  </si>
  <si>
    <t>Colour</t>
  </si>
  <si>
    <t>Quantity (e.g., 1 PC, 1 Pair)</t>
  </si>
  <si>
    <t>Product Weight (Specify in kg or grams)</t>
  </si>
  <si>
    <t>Product Dimensions (Length, Width, Height in cm or inches)</t>
  </si>
  <si>
    <t>DIM. UOM</t>
  </si>
  <si>
    <t>QTY/CARTON</t>
  </si>
  <si>
    <t>PRODuct VOLUME</t>
  </si>
  <si>
    <t>PROD L</t>
  </si>
  <si>
    <t>PROD W</t>
  </si>
  <si>
    <t>PROD H</t>
  </si>
  <si>
    <t>Ordered QTY</t>
  </si>
  <si>
    <t>SG India</t>
  </si>
  <si>
    <t>SG01AB010006</t>
  </si>
  <si>
    <t>Abdominal Pad SG TOURNAMENT Youth</t>
  </si>
  <si>
    <t>Abdominal Pad</t>
  </si>
  <si>
    <t>CRICKET</t>
  </si>
  <si>
    <t>TOURNAMENT</t>
  </si>
  <si>
    <t>WHITE</t>
  </si>
  <si>
    <t>YO67</t>
  </si>
  <si>
    <t>NO</t>
  </si>
  <si>
    <t>MENS</t>
  </si>
  <si>
    <t>PC</t>
  </si>
  <si>
    <t>MM</t>
  </si>
  <si>
    <t>Not available on BCS</t>
  </si>
  <si>
    <r>
      <rPr>
        <u/>
        <sz val="11"/>
        <color rgb="FF1155CC"/>
        <rFont val="Calibri"/>
        <family val="2"/>
      </rPr>
      <t>https://www.procricketshop.com/products/sg-tournament-abdominal-guard-boys?_pos=8&amp;_sid=b57cc813c&amp;_ss=r</t>
    </r>
  </si>
  <si>
    <t>SG01AB010007</t>
  </si>
  <si>
    <t>Abdominal Pad SG TOURNAMENT Junior</t>
  </si>
  <si>
    <t>JU32</t>
  </si>
  <si>
    <t>https://shop.teamsg.in/products/sg-tournament-abdominal-pad?_pos=1&amp;_sid=d65d1e4cb&amp;_ss=r&amp;variant=49886054547744</t>
  </si>
  <si>
    <t>SG01AB010008</t>
  </si>
  <si>
    <t>Abdominal Pad SG LITEVATE</t>
  </si>
  <si>
    <t>LITEVATE</t>
  </si>
  <si>
    <t>WHITE/RED</t>
  </si>
  <si>
    <t>AD26</t>
  </si>
  <si>
    <t>https://shop.teamsg.in/products/sg-litevate-abdominal-pad?_pos=1&amp;_psq=Abdominal+Pad+SG+LITEVATE&amp;_ss=e&amp;_v=1.0</t>
  </si>
  <si>
    <t>Not available on CC</t>
  </si>
  <si>
    <t>Not Available on CC</t>
  </si>
  <si>
    <t>SG01AC020004</t>
  </si>
  <si>
    <t>Cricket SG iBat (Narrow Blade)</t>
  </si>
  <si>
    <t>Cricket Bat</t>
  </si>
  <si>
    <t>LIGHT BROWN / RED</t>
  </si>
  <si>
    <t>SH55</t>
  </si>
  <si>
    <t>UNISEX</t>
  </si>
  <si>
    <t>CM</t>
  </si>
  <si>
    <r>
      <rPr>
        <u/>
        <sz val="11"/>
        <color rgb="FF1155CC"/>
        <rFont val="Calibri"/>
        <family val="2"/>
      </rPr>
      <t>https://www.procricketshop.com/products/sg-ibat-batting-practice-bat?_pos=1&amp;_sid=1318dd206&amp;_ss=r</t>
    </r>
  </si>
  <si>
    <t>SG01AC020005</t>
  </si>
  <si>
    <t>Cricket SG iBall (Ball with Cord)</t>
  </si>
  <si>
    <t>Cricket Ball</t>
  </si>
  <si>
    <t>iBall</t>
  </si>
  <si>
    <t>IBALL</t>
  </si>
  <si>
    <t>RED</t>
  </si>
  <si>
    <r>
      <rPr>
        <u/>
        <sz val="11"/>
        <color rgb="FF1155CC"/>
        <rFont val="Calibri"/>
        <family val="2"/>
      </rPr>
      <t>https://www.procricketshop.com/products/iball-balll-with-cord?_pos=1&amp;_sid=b09e8d705&amp;_ss=r</t>
    </r>
  </si>
  <si>
    <t>SG01AC020008</t>
  </si>
  <si>
    <t>Cricket SG UMPIRE COUNTER</t>
  </si>
  <si>
    <t>UMPIRE COUNTER</t>
  </si>
  <si>
    <t>ST57</t>
  </si>
  <si>
    <t>SG01AC020014</t>
  </si>
  <si>
    <t>Cricket SG MINI BAT</t>
  </si>
  <si>
    <t>AUTOGRAPH BAT</t>
  </si>
  <si>
    <t>MINI BAT</t>
  </si>
  <si>
    <t>MINI / AUTOGRAPH BAT</t>
  </si>
  <si>
    <t>SM56</t>
  </si>
  <si>
    <t>SG01AC020015</t>
  </si>
  <si>
    <t>Cricket Grip SG CHEVTECH (3 Pcs)</t>
  </si>
  <si>
    <t>Cricket Grip</t>
  </si>
  <si>
    <t>CHEVTECH</t>
  </si>
  <si>
    <t>GRIP CHEVTECH_PACK 3</t>
  </si>
  <si>
    <t>MULTI</t>
  </si>
  <si>
    <t>ST</t>
  </si>
  <si>
    <t>SG01AC020016</t>
  </si>
  <si>
    <t>Cricket Grip SG CHEVTECH (1 Pc)</t>
  </si>
  <si>
    <t>GRIP CHEVTECH_PACK 1</t>
  </si>
  <si>
    <t>SG01AC020022</t>
  </si>
  <si>
    <t>Cricket SG FIELDING SHIN GUARD</t>
  </si>
  <si>
    <t>FIELDING SHIN GUARD</t>
  </si>
  <si>
    <t>PR</t>
  </si>
  <si>
    <t>44-46</t>
  </si>
  <si>
    <t>SG01AC020024</t>
  </si>
  <si>
    <t>Cricket SG CATCH BAT</t>
  </si>
  <si>
    <t>Cricket bat</t>
  </si>
  <si>
    <t>CATCH BAT</t>
  </si>
  <si>
    <t>160-195</t>
  </si>
  <si>
    <t>SG01AC020025</t>
  </si>
  <si>
    <t>Cricket Grip SG PLAYERS(Multi Clr)</t>
  </si>
  <si>
    <t>PLAYERS</t>
  </si>
  <si>
    <t>GRIP PLAYERS_PACK 3</t>
  </si>
  <si>
    <t>SG01AC020026</t>
  </si>
  <si>
    <t>Cricket Grip SG PLAYERS(Single Clr)</t>
  </si>
  <si>
    <t>GRIP PLAYERS_PACK 1</t>
  </si>
  <si>
    <t>SG01BA040034</t>
  </si>
  <si>
    <t>Batting Gloves SG MAXILITE ULTIMATE RH</t>
  </si>
  <si>
    <t>Batting Gloves</t>
  </si>
  <si>
    <t>MAXILITE ULTIMATE</t>
  </si>
  <si>
    <t>WHITE / BLUE</t>
  </si>
  <si>
    <t>180-200</t>
  </si>
  <si>
    <t>not available on BCS</t>
  </si>
  <si>
    <t>not available on CC</t>
  </si>
  <si>
    <t>SG01BA040052</t>
  </si>
  <si>
    <t>Batting Gloves SG MAXILITE ULT S Adult RH</t>
  </si>
  <si>
    <t>SQ53</t>
  </si>
  <si>
    <t>175-185</t>
  </si>
  <si>
    <t>SG01BA040209</t>
  </si>
  <si>
    <t>Batting Gloves SG SAVAGE LITE Youth RH</t>
  </si>
  <si>
    <t>SAVAGE LITE</t>
  </si>
  <si>
    <t>WHITE / ARMY GREEN / GOLD</t>
  </si>
  <si>
    <t>165-175</t>
  </si>
  <si>
    <t>SG01BA040211</t>
  </si>
  <si>
    <t>Batting Gloves SG SAVAGE LITE Junior RH</t>
  </si>
  <si>
    <t>155-165</t>
  </si>
  <si>
    <t>SG01BA040382</t>
  </si>
  <si>
    <t>Batting Gloves SG RP CLUB Youth RH</t>
  </si>
  <si>
    <t>RP CLUB</t>
  </si>
  <si>
    <t>WHITE / RED / NAVY</t>
  </si>
  <si>
    <t>SG01BA040387</t>
  </si>
  <si>
    <t>Batting Gloves SG RP EXCELITE RH</t>
  </si>
  <si>
    <t>RP EXCELITE</t>
  </si>
  <si>
    <t>SG01BA040388</t>
  </si>
  <si>
    <t>Batting Gloves SG RP CLUB S  Junior RH</t>
  </si>
  <si>
    <t>SZ54</t>
  </si>
  <si>
    <t>145-155</t>
  </si>
  <si>
    <t>SG01BA040394</t>
  </si>
  <si>
    <t>Batting Gloves SG RP CLUB Junior LH</t>
  </si>
  <si>
    <t>LF</t>
  </si>
  <si>
    <t>SG01BA040403</t>
  </si>
  <si>
    <t>Batting Gloves SG RP EXCELITE S Adult RH</t>
  </si>
  <si>
    <t>SG01BA050159</t>
  </si>
  <si>
    <t>Batting Legguards SG PLAYERS XTREME S Adult RH</t>
  </si>
  <si>
    <t>Batting Legguards</t>
  </si>
  <si>
    <t>PLAYERS XTREME</t>
  </si>
  <si>
    <t>WHITE / RED / BLACK</t>
  </si>
  <si>
    <t>43-44</t>
  </si>
  <si>
    <t>SG01BA050180</t>
  </si>
  <si>
    <t>Batting Legguards SG KLR LITE RH</t>
  </si>
  <si>
    <t>KLR LITE</t>
  </si>
  <si>
    <t>SG01BA050201</t>
  </si>
  <si>
    <t>Batting Legguards SG SHIELD Youth</t>
  </si>
  <si>
    <t>SHIELD</t>
  </si>
  <si>
    <t>WHITE / GREY</t>
  </si>
  <si>
    <t>42-43</t>
  </si>
  <si>
    <t>SG01BA050202</t>
  </si>
  <si>
    <t>Batting Legguards SG SHIELD Junior</t>
  </si>
  <si>
    <t>40-42</t>
  </si>
  <si>
    <t>SG01BA050203</t>
  </si>
  <si>
    <t>Batting Legguards SG SHIELD S Junior</t>
  </si>
  <si>
    <t>38-40</t>
  </si>
  <si>
    <t>SG01BA050426</t>
  </si>
  <si>
    <t>Batting Legguards SG RP CLUB RH</t>
  </si>
  <si>
    <t>WHITE / RED / BLUE</t>
  </si>
  <si>
    <t>SG01BA050427</t>
  </si>
  <si>
    <t>Batting Legguards SG RP CLUB Youth RH</t>
  </si>
  <si>
    <t>SG01BA050428</t>
  </si>
  <si>
    <t>Batting Legguards SG RP CLUB Junior RH</t>
  </si>
  <si>
    <t>SG01BA050433</t>
  </si>
  <si>
    <t>Batting Legguards SG RP CLUB S Junior RH</t>
  </si>
  <si>
    <t>SG01CH070001</t>
  </si>
  <si>
    <t>Chest Guard SG SUPALITE</t>
  </si>
  <si>
    <t>Chest Guard</t>
  </si>
  <si>
    <t>SUPALITE</t>
  </si>
  <si>
    <t>100-105(40)</t>
  </si>
  <si>
    <t>SG01CH070003</t>
  </si>
  <si>
    <t>Chest Guard SG SUPALITE Youth</t>
  </si>
  <si>
    <t>95-100(38)</t>
  </si>
  <si>
    <t>SG01CH070004</t>
  </si>
  <si>
    <t>Chest Guard SG SUPALITE Junior</t>
  </si>
  <si>
    <t>90-95(36)</t>
  </si>
  <si>
    <t>SG01CO100001</t>
  </si>
  <si>
    <t>Cricket Set KW ECO No  3</t>
  </si>
  <si>
    <t>Cricket Set</t>
  </si>
  <si>
    <t>ECONOMY COMBO</t>
  </si>
  <si>
    <t>ECONOMY CRICKET KIT</t>
  </si>
  <si>
    <t>WHITE / BLACK / BLUE</t>
  </si>
  <si>
    <t>NO44</t>
  </si>
  <si>
    <t>SG01CO100002</t>
  </si>
  <si>
    <t>Cricket Set KW ECO No  4</t>
  </si>
  <si>
    <t>NO45</t>
  </si>
  <si>
    <t>SG01CO100003</t>
  </si>
  <si>
    <t>Cricket Set KW ECO No  5</t>
  </si>
  <si>
    <t>NO47</t>
  </si>
  <si>
    <t>SG01CO100004</t>
  </si>
  <si>
    <t>Cricket Set KW ECO No  6</t>
  </si>
  <si>
    <t>NO48</t>
  </si>
  <si>
    <t>SG01CO100005</t>
  </si>
  <si>
    <t>Cricket Set KW ECO</t>
  </si>
  <si>
    <t>SG01CO100079</t>
  </si>
  <si>
    <t>SG PREMIUM COMBO Kit SH</t>
  </si>
  <si>
    <t>COMBO Kit</t>
  </si>
  <si>
    <t>PREMIUM COMBO</t>
  </si>
  <si>
    <t>PREMIUM CRICKET KIT</t>
  </si>
  <si>
    <t>WHITE / BLACK / GREEN</t>
  </si>
  <si>
    <t>SG01CO100080</t>
  </si>
  <si>
    <t>SG PREMIUM COMBO Kit No 5</t>
  </si>
  <si>
    <t>SG01CO100081</t>
  </si>
  <si>
    <t>SG PREMIUM COMBO Kit No 6</t>
  </si>
  <si>
    <t>SG01CR110073</t>
  </si>
  <si>
    <t>Kit Bag SG 22 YARD DUFFLE</t>
  </si>
  <si>
    <t>Kit Bag</t>
  </si>
  <si>
    <t>YARD DUFFLE</t>
  </si>
  <si>
    <t>22 YARD DUFFLE</t>
  </si>
  <si>
    <t>BLACK / GOLD</t>
  </si>
  <si>
    <t>87*29*29</t>
  </si>
  <si>
    <t>SG01CR110079</t>
  </si>
  <si>
    <t>Kit Bag SG 22 YARD X1 DUFFLE WHEELIE</t>
  </si>
  <si>
    <t>YARD X1 DUFFLE</t>
  </si>
  <si>
    <t>22 YARD X1 DUFFLE WHEELIE</t>
  </si>
  <si>
    <t>LA35</t>
  </si>
  <si>
    <t>98*35*33</t>
  </si>
  <si>
    <r>
      <rPr>
        <u/>
        <sz val="11"/>
        <color rgb="FF1155CC"/>
        <rFont val="Calibri"/>
        <family val="2"/>
      </rPr>
      <t>https://www.procricketshop.com/products/sg-22-yards-x1-duffle-wheelie?_pos=1&amp;_sid=74add29bf&amp;_ss=r</t>
    </r>
  </si>
  <si>
    <t>SG01CR110083</t>
  </si>
  <si>
    <t>Kit Bag SG 22 YARD X2 TROLLEY</t>
  </si>
  <si>
    <t>YARD X2 TROLLEY</t>
  </si>
  <si>
    <t>22 YARD X2 TROLLEY</t>
  </si>
  <si>
    <t>80*30*30</t>
  </si>
  <si>
    <t>SG01CR110090</t>
  </si>
  <si>
    <t>Kit Bag SG 22 YARD X3 WHEELIE</t>
  </si>
  <si>
    <t>22 YARD X3</t>
  </si>
  <si>
    <t>22 YARD X3 WHEELIE</t>
  </si>
  <si>
    <t>95*38*33</t>
  </si>
  <si>
    <t>SG01CR110109</t>
  </si>
  <si>
    <t>Kit Bag SG EXTREMEPAK PLUS 2 0  TROLLEY</t>
  </si>
  <si>
    <t>EXTREMEPAK PLUS 2 0</t>
  </si>
  <si>
    <t>NAVY BLUE / YELLOW</t>
  </si>
  <si>
    <t>75*30*30</t>
  </si>
  <si>
    <t>SG01CR120009</t>
  </si>
  <si>
    <t>Cricket Balls SG CLUB White</t>
  </si>
  <si>
    <t>CLUB</t>
  </si>
  <si>
    <t>SG01CR120044</t>
  </si>
  <si>
    <t>Cricket Balls SG SHIELD 20 White</t>
  </si>
  <si>
    <t>SHIELD 20</t>
  </si>
  <si>
    <t>not available on cc</t>
  </si>
  <si>
    <t>SG01CR120048</t>
  </si>
  <si>
    <t>Cricket Balls SG SHIELD 30 White</t>
  </si>
  <si>
    <t>SHIELD 30</t>
  </si>
  <si>
    <t>SG01CR130005</t>
  </si>
  <si>
    <t>Cricket Bat SG SUPER COVER No 4</t>
  </si>
  <si>
    <t>SUPER COVER</t>
  </si>
  <si>
    <t>BLUE / SILVER</t>
  </si>
  <si>
    <t>SG01CR130009</t>
  </si>
  <si>
    <t>Cricket Bat SG SUPER COVER No 6</t>
  </si>
  <si>
    <t>SG01CR130010</t>
  </si>
  <si>
    <t>Cricket Bat SG SUPER COVER No 5</t>
  </si>
  <si>
    <t>SG01CR130012</t>
  </si>
  <si>
    <t>Cricket Bat SG SUPER COVER No 3</t>
  </si>
  <si>
    <t>SG01CR130032</t>
  </si>
  <si>
    <t>Cricket Bat SG COBRA XTREME</t>
  </si>
  <si>
    <t>COBRA XTREME</t>
  </si>
  <si>
    <t>NAVY BLUE</t>
  </si>
  <si>
    <t>SG01CR130033</t>
  </si>
  <si>
    <t>Cricket Bat SG RSD XTREME</t>
  </si>
  <si>
    <t>BLACK / BLUE</t>
  </si>
  <si>
    <t>SG01CR130034</t>
  </si>
  <si>
    <t>Cricket Bat SG RSD XTREME No 6</t>
  </si>
  <si>
    <t>SG01CR130035</t>
  </si>
  <si>
    <t>Cricket Bat SG RSD XTREME No 5</t>
  </si>
  <si>
    <t>NO46</t>
  </si>
  <si>
    <t>SG01CR130036</t>
  </si>
  <si>
    <t>Cricket Bat SG RSD XTREME No 4</t>
  </si>
  <si>
    <t>SG01CR130045</t>
  </si>
  <si>
    <t>Cricket Bat SG HISCORE XTREME No 6</t>
  </si>
  <si>
    <t>HISCORE XTREME</t>
  </si>
  <si>
    <t>BLUE / RED</t>
  </si>
  <si>
    <t>SG01CR130046</t>
  </si>
  <si>
    <t>Cricket Bat SG HISCORE XTREME No 5</t>
  </si>
  <si>
    <t>SG01CR130047</t>
  </si>
  <si>
    <t>Cricket Bat SG HISCORE XTREME No 4</t>
  </si>
  <si>
    <t>SG01CR130187</t>
  </si>
  <si>
    <t>Cricket Bat SG HISCORE XTREME Harrow</t>
  </si>
  <si>
    <t>HA31</t>
  </si>
  <si>
    <t>SG01CR130401</t>
  </si>
  <si>
    <t>Cricket Bat SG HP PEARL No 5</t>
  </si>
  <si>
    <t>HP PEARL</t>
  </si>
  <si>
    <t>BLUE</t>
  </si>
  <si>
    <t>SG01CR130402</t>
  </si>
  <si>
    <t>Cricket Bat SG HP PEARL No 4</t>
  </si>
  <si>
    <t>SG01CR140014</t>
  </si>
  <si>
    <t>Cricket Bat SG COBRA GOLD No 6</t>
  </si>
  <si>
    <t>COBRA GOLD</t>
  </si>
  <si>
    <t>WHITE / GOLD</t>
  </si>
  <si>
    <t>SG01CR140015</t>
  </si>
  <si>
    <t>Cricket Bat SG COBRA GOLD No 5</t>
  </si>
  <si>
    <t>SG01CR140017</t>
  </si>
  <si>
    <t>Cricket Bat SG BOUNDARY XTREME</t>
  </si>
  <si>
    <t>BOUNDARY XTREME</t>
  </si>
  <si>
    <t>SG01CR140020</t>
  </si>
  <si>
    <t>Cricket Bat SG BOUNDARY XTREME No 6</t>
  </si>
  <si>
    <t>SG01CR140021</t>
  </si>
  <si>
    <t>Cricket Bat SG BOUNDARY XTREME No 5</t>
  </si>
  <si>
    <t>SG01CR140022</t>
  </si>
  <si>
    <t>Cricket Bat SG BOUNDARY XTREME No 4</t>
  </si>
  <si>
    <t>SG01CR140027</t>
  </si>
  <si>
    <t>Cricket Bat SG RSD SPARK No 6</t>
  </si>
  <si>
    <t>RSD SPARK</t>
  </si>
  <si>
    <t>BLUE / BLACK</t>
  </si>
  <si>
    <t>SG01CR140028</t>
  </si>
  <si>
    <t>Cricket Bat SG RSD SPARK No 5</t>
  </si>
  <si>
    <t>SG01CR140029</t>
  </si>
  <si>
    <t>Cricket Bat SG RSD SPARK No 4</t>
  </si>
  <si>
    <t>SG01CR140030</t>
  </si>
  <si>
    <t>Cricket Bat SG RSD SPARK No 3</t>
  </si>
  <si>
    <t>SG01CR140070</t>
  </si>
  <si>
    <t>Cricket Bat SG RSD SPARK No 2</t>
  </si>
  <si>
    <t>NO43</t>
  </si>
  <si>
    <t>SG01CR140071</t>
  </si>
  <si>
    <t>Cricket Bat SG RSD SPARK No 1</t>
  </si>
  <si>
    <t>NO37</t>
  </si>
  <si>
    <t>SG01CR140094</t>
  </si>
  <si>
    <t>Cricket Tennis Bat SG T-1400</t>
  </si>
  <si>
    <t>T-1400</t>
  </si>
  <si>
    <t>BLUE / GREEN</t>
  </si>
  <si>
    <t>SG01CR140109</t>
  </si>
  <si>
    <t>Cricket Tennis Bat SG T-1600</t>
  </si>
  <si>
    <t>T-1600</t>
  </si>
  <si>
    <t>ORANGE</t>
  </si>
  <si>
    <t>SG01CR140110</t>
  </si>
  <si>
    <t>Cricket Bat SG RP PRO</t>
  </si>
  <si>
    <t>RP PRO</t>
  </si>
  <si>
    <t>RED / NAVY BLUE</t>
  </si>
  <si>
    <t>SG01CR140111</t>
  </si>
  <si>
    <t>Cricket Bat SG RP PRO No 6</t>
  </si>
  <si>
    <t>SG01CR140112</t>
  </si>
  <si>
    <t>Cricket Bat SG RP PRO No 5</t>
  </si>
  <si>
    <t>SG01CR140113</t>
  </si>
  <si>
    <t>Cricket Bat SG RP PRO No 4</t>
  </si>
  <si>
    <t>SG01CR140115</t>
  </si>
  <si>
    <t>Cricket Bat SG IK PRO No 6</t>
  </si>
  <si>
    <t>IK PRO</t>
  </si>
  <si>
    <t>SG01CR140116</t>
  </si>
  <si>
    <t>Cricket Bat SG IK PRO No 5</t>
  </si>
  <si>
    <t>SG01CR140117</t>
  </si>
  <si>
    <t>Cricket Bat SG IK PRO No 4</t>
  </si>
  <si>
    <t>SG01CR160978</t>
  </si>
  <si>
    <t>Shoe SG SIERRA 2 0 White/Lime/Royal Blue No  6</t>
  </si>
  <si>
    <t>Cricket Shoe</t>
  </si>
  <si>
    <t>FOOTWEAR</t>
  </si>
  <si>
    <t>SIERRA 2 0</t>
  </si>
  <si>
    <t>WHITE/LIME/ROYAL BLUE</t>
  </si>
  <si>
    <t>SG01CR160979</t>
  </si>
  <si>
    <t>Shoe SG SIERRA 2 0 White/Lime/Royal Blue No  7</t>
  </si>
  <si>
    <t>NO49</t>
  </si>
  <si>
    <t>SG01CR160980</t>
  </si>
  <si>
    <t>Shoe SG SIERRA 2 0 White/Lime/Royal Blue No  8</t>
  </si>
  <si>
    <t>NO50</t>
  </si>
  <si>
    <t>SG01CR160981</t>
  </si>
  <si>
    <t>Shoe SG SIERRA 2 0 White/Lime/Royal Blue No  9</t>
  </si>
  <si>
    <t>NO51</t>
  </si>
  <si>
    <t>SG01CR160982</t>
  </si>
  <si>
    <t>Shoe SG SIERRA 2 0 White/Lime/Royal Blue No 10</t>
  </si>
  <si>
    <t>NO38</t>
  </si>
  <si>
    <t>SG01CR160983</t>
  </si>
  <si>
    <t>Shoe SG SIERRA 2 0 White/Lime/Royal Blue No 11</t>
  </si>
  <si>
    <t>NO39</t>
  </si>
  <si>
    <t>SG01CR161639</t>
  </si>
  <si>
    <t>Shoe SG SAVAGE SPIKES 1 0 White/Red/Grey No 6</t>
  </si>
  <si>
    <t>SAVAGE SPIKES 1 0</t>
  </si>
  <si>
    <t>WHT/RED/GREY</t>
  </si>
  <si>
    <t>SG01CR161640</t>
  </si>
  <si>
    <t>Shoe SG SAVAGE SPIKES 1 0 White/Red/Grey No 7</t>
  </si>
  <si>
    <t>SG01CR161641</t>
  </si>
  <si>
    <t>Shoe SG SAVAGE SPIKES 1 0 White/Red/Grey No 8</t>
  </si>
  <si>
    <t>SG01CR161642</t>
  </si>
  <si>
    <t>Shoe SG SAVAGE SPIKES 1 0 White/Red/Grey No 9</t>
  </si>
  <si>
    <t>SG01CR161643</t>
  </si>
  <si>
    <t>Shoe SG SAVAGE SPIKES 1 0 White/Red/Grey No 10</t>
  </si>
  <si>
    <t>SG01CR161760</t>
  </si>
  <si>
    <t>Shoe SG CENTURY 6 0 White/ Royal Blue/ Orange No 10</t>
  </si>
  <si>
    <t>CENTURY 6 0</t>
  </si>
  <si>
    <t>WHITE / ROYAL BLUE / ORANGE</t>
  </si>
  <si>
    <t>SG01CR161761</t>
  </si>
  <si>
    <t>Shoe SG CENTURY 6 0 White/ Royal Blue/ Orange No 11</t>
  </si>
  <si>
    <t>SG01CR161762</t>
  </si>
  <si>
    <t>Shoe SG CENTURY 6 0 White/ Royal Blue/ Orange No 4</t>
  </si>
  <si>
    <t>SG01CR161763</t>
  </si>
  <si>
    <t>Shoe SG CENTURY 6 0 White/ Royal Blue/ Orange No 5</t>
  </si>
  <si>
    <t>SG01CR161764</t>
  </si>
  <si>
    <t>Shoe SG CENTURY 6 0 White/ Royal Blue/ Orange No 6</t>
  </si>
  <si>
    <t>SG01CR161765</t>
  </si>
  <si>
    <t>Shoe SG CENTURY 6 0 White/ Royal Blue/ Orange No 7</t>
  </si>
  <si>
    <t>SG01CR161766</t>
  </si>
  <si>
    <t>Shoe SG CENTURY 6 0 White/ Royal Blue/ Orange No 8</t>
  </si>
  <si>
    <t>SG01CR161767</t>
  </si>
  <si>
    <t>Shoe SG CENTURY 6 0 White/ Royal Blue/ Orange No 9</t>
  </si>
  <si>
    <t>SG01CR161807</t>
  </si>
  <si>
    <t>Shoe SG FUSION Teal/White No 6</t>
  </si>
  <si>
    <t>FUSION</t>
  </si>
  <si>
    <t>TEAL / WHITE</t>
  </si>
  <si>
    <t>SG01CR161808</t>
  </si>
  <si>
    <t>Shoe SG FUSION Teal/White No 7</t>
  </si>
  <si>
    <t>SG01CR161811</t>
  </si>
  <si>
    <t>Shoe SG FUSION Teal/White No 10</t>
  </si>
  <si>
    <t>SG01CR161812</t>
  </si>
  <si>
    <t>Shoe SG FUSION Teal/White No 11</t>
  </si>
  <si>
    <t>SG01DI240140</t>
  </si>
  <si>
    <t>Cricket Balls SG TOURNAMENT White</t>
  </si>
  <si>
    <t>SG01DI270319</t>
  </si>
  <si>
    <t>Thigh Pad SG COMBO ULTIMATE S Junior RH</t>
  </si>
  <si>
    <t>Thigh Pad combo</t>
  </si>
  <si>
    <t>Combo ULTIMATE</t>
  </si>
  <si>
    <t>COMBO ULTIMATE</t>
  </si>
  <si>
    <t>34-42</t>
  </si>
  <si>
    <t>SG01EL320001</t>
  </si>
  <si>
    <t>Elbow Guard SG SUPER TEST</t>
  </si>
  <si>
    <t>Elbow Guard</t>
  </si>
  <si>
    <t>SUPER TEST</t>
  </si>
  <si>
    <t>25-28</t>
  </si>
  <si>
    <t>SG01EL320003</t>
  </si>
  <si>
    <t>Elbow Guard SG TEST Youth</t>
  </si>
  <si>
    <t>TEST</t>
  </si>
  <si>
    <t>22-25</t>
  </si>
  <si>
    <t>SG01EL320004</t>
  </si>
  <si>
    <t>Elbow Guard SG TEST Junior</t>
  </si>
  <si>
    <t>19-22</t>
  </si>
  <si>
    <t>SG01EL320006</t>
  </si>
  <si>
    <t>Elbow Guard SG RADIX</t>
  </si>
  <si>
    <t>VS319 ULTIMATE</t>
  </si>
  <si>
    <t>RADIX</t>
  </si>
  <si>
    <t>SG01EL320011</t>
  </si>
  <si>
    <t>Elbow Guard SG TEST S Junior</t>
  </si>
  <si>
    <t>16-19</t>
  </si>
  <si>
    <t>SG01HE350030</t>
  </si>
  <si>
    <t>Cricket Helmet SG AEROTECH 2 0 Small</t>
  </si>
  <si>
    <t>Cricket Helmet</t>
  </si>
  <si>
    <t>AEROTECH</t>
  </si>
  <si>
    <t>NAVY</t>
  </si>
  <si>
    <t>52-54</t>
  </si>
  <si>
    <t>SG01HE350031</t>
  </si>
  <si>
    <t>Cricket Helmet SG AEROTECH 2 0 Medium</t>
  </si>
  <si>
    <t>ME36</t>
  </si>
  <si>
    <t>54-56</t>
  </si>
  <si>
    <t>SG01HE350032</t>
  </si>
  <si>
    <t>Cricket Helmet SG AEROTECH 2 0 Large</t>
  </si>
  <si>
    <t>56-58</t>
  </si>
  <si>
    <t>SG01HE350033</t>
  </si>
  <si>
    <t>Cricket Helmet SG AEROTECH 2 0 X Small</t>
  </si>
  <si>
    <t>XB60</t>
  </si>
  <si>
    <t>50-52</t>
  </si>
  <si>
    <t>SG01HE350034</t>
  </si>
  <si>
    <t>Cricket Helmet SG AEROTECH 2 0 X Large</t>
  </si>
  <si>
    <t>XA59</t>
  </si>
  <si>
    <t>58-60</t>
  </si>
  <si>
    <t>SG01HE350040</t>
  </si>
  <si>
    <t>Cricket Helmet SG AEROSHIELD 2 0 X Small</t>
  </si>
  <si>
    <t>AEROSHIELD</t>
  </si>
  <si>
    <t>SG01HE350041</t>
  </si>
  <si>
    <t>Cricket Helmet SG AEROSHIELD 2 0 Small</t>
  </si>
  <si>
    <t>SG01HE350042</t>
  </si>
  <si>
    <t>Cricket Helmet SG AEROSHIELD 2 0 Medium</t>
  </si>
  <si>
    <t>SG01HE350043</t>
  </si>
  <si>
    <t>Cricket Helmet SG AEROSHIELD 2 0 Large</t>
  </si>
  <si>
    <t>SG01HE350044</t>
  </si>
  <si>
    <t>Cricket Helmet SG AEROSHIELD 2 0 X Large</t>
  </si>
  <si>
    <t>SG01IN380001</t>
  </si>
  <si>
    <t>Inner Gloves SG TEST</t>
  </si>
  <si>
    <t>Inner Gloves</t>
  </si>
  <si>
    <t>SG01IN380002</t>
  </si>
  <si>
    <t>Inner Gloves SG LEAGUE</t>
  </si>
  <si>
    <t>LEAGUE</t>
  </si>
  <si>
    <t>SG01IN380003</t>
  </si>
  <si>
    <t>Inner Gloves SG CLUB</t>
  </si>
  <si>
    <t>SG01IN380004</t>
  </si>
  <si>
    <t>Inner Gloves SG CLUB Youth</t>
  </si>
  <si>
    <t>165-180</t>
  </si>
  <si>
    <t>SG01IN380005</t>
  </si>
  <si>
    <t>Inner Gloves SG CLUB Junior</t>
  </si>
  <si>
    <t>SG01IN380009</t>
  </si>
  <si>
    <t>Inner Gloves SG LEAGUE Youth</t>
  </si>
  <si>
    <t>SG01IN380011</t>
  </si>
  <si>
    <t>Inner Gloves SG CLUB S Junior</t>
  </si>
  <si>
    <t>SG01IN390001</t>
  </si>
  <si>
    <t>Inner Thigh Pad SG PROFLEX RH</t>
  </si>
  <si>
    <t>Inner Thigh Pad</t>
  </si>
  <si>
    <t>PROFLEX</t>
  </si>
  <si>
    <t>47-57</t>
  </si>
  <si>
    <t>SG01IN390002</t>
  </si>
  <si>
    <t>Inner Thigh Pad SG RADIX RH</t>
  </si>
  <si>
    <t>SG01TH630003</t>
  </si>
  <si>
    <t>Thigh Pad SG TEST Youth</t>
  </si>
  <si>
    <t>Thigh Pad</t>
  </si>
  <si>
    <t>42-52</t>
  </si>
  <si>
    <t>SG01TH630004</t>
  </si>
  <si>
    <t>Thigh Pad SG TEST Junior</t>
  </si>
  <si>
    <t>37-47</t>
  </si>
  <si>
    <t>SG01TH630006</t>
  </si>
  <si>
    <t>Thigh Pad SG RADIX RH</t>
  </si>
  <si>
    <t>SG01TH630008</t>
  </si>
  <si>
    <t>Thigh Pad SG LITEVATE RH</t>
  </si>
  <si>
    <t>SG01TH630010</t>
  </si>
  <si>
    <t>Thigh Pad SG PRO RH</t>
  </si>
  <si>
    <t>PRO</t>
  </si>
  <si>
    <t>SG01TH630011</t>
  </si>
  <si>
    <t>Thigh Pad SG TEST S Junior</t>
  </si>
  <si>
    <t>32-42</t>
  </si>
  <si>
    <t>SG01TH630013</t>
  </si>
  <si>
    <t>Thigh Pad SG COMBO ULTIMATE Youth RH</t>
  </si>
  <si>
    <t>ULTIMATE</t>
  </si>
  <si>
    <t>SG01TH630014</t>
  </si>
  <si>
    <t>Thigh Pad SG COMBO ULTIMATE Junior RH</t>
  </si>
  <si>
    <t>SG01TH630029</t>
  </si>
  <si>
    <t>Thigh Pad SG COMBO PLAYERS RH</t>
  </si>
  <si>
    <t>COMBO PLAYERS</t>
  </si>
  <si>
    <t>SG01TH630031</t>
  </si>
  <si>
    <t>Thigh Pad SG COMBO PLAYERS S Adult RH</t>
  </si>
  <si>
    <t>SG01TH630037</t>
  </si>
  <si>
    <t>Thigh Pad SG COMBO ACE PROT Wht RH</t>
  </si>
  <si>
    <t>ACE PROT</t>
  </si>
  <si>
    <t>ACE PROTECTOR</t>
  </si>
  <si>
    <t>SG01WK650004</t>
  </si>
  <si>
    <t>W K  Gloves SG LEAGUE</t>
  </si>
  <si>
    <t>Wicket Keeping Gloves</t>
  </si>
  <si>
    <t>220-230</t>
  </si>
  <si>
    <t>SG01WK650006</t>
  </si>
  <si>
    <t>W K  Gloves SG SUPER CLUB Youth</t>
  </si>
  <si>
    <t>SUPER CLUB</t>
  </si>
  <si>
    <t>WHITE / BLACK / RED</t>
  </si>
  <si>
    <t>190-200</t>
  </si>
  <si>
    <r>
      <rPr>
        <u/>
        <sz val="11"/>
        <color rgb="FF1155CC"/>
        <rFont val="Calibri"/>
        <family val="2"/>
      </rPr>
      <t>https://www.procricketshop.com/products/sg-super-club?_pos=1&amp;_sid=a8a0c9fa1&amp;_ss=r</t>
    </r>
  </si>
  <si>
    <t>SG01WK650007</t>
  </si>
  <si>
    <t>W K  Gloves SG SUPER CLUB Junior</t>
  </si>
  <si>
    <t>SG01WK650009</t>
  </si>
  <si>
    <t>W K  Gloves SG CLUB Youth</t>
  </si>
  <si>
    <t>SG01WK650010</t>
  </si>
  <si>
    <t>W K  Gloves SG CLUB Junior</t>
  </si>
  <si>
    <t>175-180</t>
  </si>
  <si>
    <t>SG01WK650014</t>
  </si>
  <si>
    <t>W K  Gloves SG CLUB S Junior</t>
  </si>
  <si>
    <t>170-175</t>
  </si>
  <si>
    <t>SG01WK650016</t>
  </si>
  <si>
    <t>W K  Gloves SG RSD XTREME</t>
  </si>
  <si>
    <t>RSD XTREME</t>
  </si>
  <si>
    <t>SG01WK660003</t>
  </si>
  <si>
    <t>W K  Legguards SG CLUB Youth</t>
  </si>
  <si>
    <t>Wicket Keeping Legguard</t>
  </si>
  <si>
    <t>42-44</t>
  </si>
  <si>
    <r>
      <rPr>
        <u/>
        <sz val="11"/>
        <color rgb="FF1155CC"/>
        <rFont val="Calibri"/>
        <family val="2"/>
      </rPr>
      <t>https://www.procricketshop.com/products/club-sg?_pos=8&amp;_sid=7bad728e1&amp;_ss=r</t>
    </r>
  </si>
  <si>
    <t>SG01WK660005</t>
  </si>
  <si>
    <t>W K  Legguards SG SUPER TEST</t>
  </si>
  <si>
    <r>
      <rPr>
        <u/>
        <sz val="11"/>
        <color rgb="FF1155CC"/>
        <rFont val="Calibri"/>
        <family val="2"/>
      </rPr>
      <t>https://www.procricketshop.com/products/sg-super-test-cricket-batting-elbow-guard-mens?_pos=4&amp;_sid=4f0175e26&amp;_ss=r</t>
    </r>
  </si>
  <si>
    <t>SG01WK660006</t>
  </si>
  <si>
    <t>W K  Legguards SG CAMPUS</t>
  </si>
  <si>
    <t>CAMPUS</t>
  </si>
  <si>
    <t>SG01WK660012</t>
  </si>
  <si>
    <t>W K  Legguards SG CLUB Junior</t>
  </si>
  <si>
    <t>SG01WK660014</t>
  </si>
  <si>
    <t>W K  Legguards SG CLUB S Junior</t>
  </si>
  <si>
    <t>SG01WK660015</t>
  </si>
  <si>
    <t>W K  Legguards SG NYLITE</t>
  </si>
  <si>
    <t>NYLITE</t>
  </si>
  <si>
    <r>
      <rPr>
        <u/>
        <sz val="11"/>
        <color rgb="FF1155CC"/>
        <rFont val="Calibri"/>
        <family val="2"/>
      </rPr>
      <t>https://www.procricketshop.com/products/sg-nylite-cricket-wk-leg-guards?_pos=2&amp;_sid=21e2f1956&amp;_ss=r</t>
    </r>
  </si>
  <si>
    <t>Size</t>
  </si>
  <si>
    <t>Youth</t>
  </si>
  <si>
    <t>Junior</t>
  </si>
  <si>
    <t>Adult</t>
  </si>
  <si>
    <t>Onesize</t>
  </si>
  <si>
    <t>Adult RH</t>
  </si>
  <si>
    <t>S Adult RH</t>
  </si>
  <si>
    <t>Youth RH</t>
  </si>
  <si>
    <t>Junior RH</t>
  </si>
  <si>
    <t>S Junior RH</t>
  </si>
  <si>
    <t>Junior LH</t>
  </si>
  <si>
    <t>S Junior</t>
  </si>
  <si>
    <t>SH</t>
  </si>
  <si>
    <t>No 5</t>
  </si>
  <si>
    <t>No 6</t>
  </si>
  <si>
    <t>No 4</t>
  </si>
  <si>
    <t>No 3</t>
  </si>
  <si>
    <t>Harrow</t>
  </si>
  <si>
    <t>No 2</t>
  </si>
  <si>
    <t>No 1</t>
  </si>
  <si>
    <t>Small</t>
  </si>
  <si>
    <t>Medium</t>
  </si>
  <si>
    <t>Large</t>
  </si>
  <si>
    <t>X Small</t>
  </si>
  <si>
    <t>X Large</t>
  </si>
  <si>
    <t>Cricket Set KW ECO No 3</t>
  </si>
  <si>
    <t>Cricket Set KW ECO No 4</t>
  </si>
  <si>
    <t>Cricket Set KW ECO No 5</t>
  </si>
  <si>
    <t>Cricket Set KW ECO No 6</t>
  </si>
  <si>
    <t>Shoe SG SIERRA 2 0 White/Lime/Royal Blue No 6</t>
  </si>
  <si>
    <t>Shoe SG SIERRA 2 0 White/Lime/Royal Blue No 7</t>
  </si>
  <si>
    <t>No 7</t>
  </si>
  <si>
    <t>Shoe SG SIERRA 2 0 White/Lime/Royal Blue No 8</t>
  </si>
  <si>
    <t>No 8</t>
  </si>
  <si>
    <t>Shoe SG SIERRA 2 0 White/Lime/Royal Blue No 9</t>
  </si>
  <si>
    <t>No 9</t>
  </si>
  <si>
    <t>No 10</t>
  </si>
  <si>
    <t>No 11</t>
  </si>
  <si>
    <t>Kit Bag SG EXTREMEPAK PLUS 2 0 TROLLEY</t>
  </si>
  <si>
    <t>W K Gloves SG LEAGUE</t>
  </si>
  <si>
    <t>W K Gloves SG RSD XTREME</t>
  </si>
  <si>
    <t>W K Legguards SG SUPER TEST</t>
  </si>
  <si>
    <t>W K Legguards SG CAMPUS</t>
  </si>
  <si>
    <t>W K Legguards SG NYLITE</t>
  </si>
  <si>
    <t>Tentative Working</t>
  </si>
  <si>
    <t>Player Name</t>
  </si>
  <si>
    <t>Size (E.g: Junior,Youth, harrow, adult or X.S, S, M, L, XL)</t>
  </si>
  <si>
    <t>Orientation 
 (LH/RH)</t>
  </si>
  <si>
    <t>Gender
  (Male/Female/Unisex)</t>
  </si>
  <si>
    <t>Purchase Rate in USD</t>
  </si>
  <si>
    <t>Final invoice value in USD</t>
  </si>
  <si>
    <t>SG MRP India (INR)</t>
  </si>
  <si>
    <t>Best Cricket Store in USD</t>
  </si>
  <si>
    <t>Best Cricket Store link</t>
  </si>
  <si>
    <t>Criclanes in USD</t>
  </si>
  <si>
    <t>Criclanes link</t>
  </si>
  <si>
    <t>USD 4388.42 
Additional
Expense</t>
  </si>
  <si>
    <t>Per Product additional expense USD</t>
  </si>
  <si>
    <t>Per Product actual cost</t>
  </si>
  <si>
    <t>Final Cost (Inc add exp)</t>
  </si>
  <si>
    <t>-</t>
  </si>
  <si>
    <t>Piece</t>
  </si>
  <si>
    <r>
      <rPr>
        <u/>
        <sz val="11"/>
        <color rgb="FF1155CC"/>
        <rFont val="Calibri"/>
        <family val="2"/>
      </rPr>
      <t>https://shop.teamsg.in/products/sg-tournament-abdominal-pad?variant=49886054514976</t>
    </r>
  </si>
  <si>
    <t>iBat</t>
  </si>
  <si>
    <t>IBAT</t>
  </si>
  <si>
    <t>https://shop.teamsg.in/products/ibat?_pos=1&amp;_sid=8ec424ab5&amp;_ss=r</t>
  </si>
  <si>
    <t>https://shop.teamsg.in/products/iball-ball-with-cord?_pos=1&amp;_sid=8a4a27d97&amp;_ss=r</t>
  </si>
  <si>
    <t>https://shop.teamsg.in/products/umpire-counter?_pos=6&amp;_sid=c38db7aec&amp;_ss=r</t>
  </si>
  <si>
    <t>https://shop.teamsg.in/products/mini-bat?_pos=1&amp;_sid=723de1741&amp;_ss=r</t>
  </si>
  <si>
    <t>Set</t>
  </si>
  <si>
    <t>https://shop.teamsg.in/products/cricket-grip-sg-chevtech-3-pcs?_pos=1&amp;_psq=Cricket+Grip+SG+CHEVTECH+%283+Pcs%29&amp;_ss=e&amp;_v=1.0</t>
  </si>
  <si>
    <t>https://shop.teamsg.in/products/cricket-grip-sg-chevtech-1-pcs?_pos=1&amp;_psq=Cricket+Grip+SG+CHEVTECH+%281+Pc%29&amp;_ss=e&amp;_v=1.0</t>
  </si>
  <si>
    <t>Pair</t>
  </si>
  <si>
    <r>
      <rPr>
        <u/>
        <sz val="11"/>
        <color rgb="FF1155CC"/>
        <rFont val="Calibri"/>
        <family val="2"/>
      </rPr>
      <t>https://shop.teamsg.in/products/fielding-shin-guard?_pos=2&amp;_sid=53744d003&amp;_ss=r</t>
    </r>
  </si>
  <si>
    <t>https://shop.teamsg.in/products/catch-bat?_pos=1&amp;_sid=50b2bffbe&amp;_ss=r</t>
  </si>
  <si>
    <t>https://shop.teamsg.in/products/sg-player-grip-multi-color-pack-of-3?_pos=3&amp;_sid=15b13390c&amp;_ss=r</t>
  </si>
  <si>
    <t>https://shop.teamsg.in/products/sg-player-grip-multi-color-pack-of-1?_pos=1&amp;_sid=28cb96b26&amp;_ss=r</t>
  </si>
  <si>
    <t>Rishabh Pant</t>
  </si>
  <si>
    <t>Batting Gloves SG RP CLUB S Junior RH</t>
  </si>
  <si>
    <r>
      <rPr>
        <u/>
        <sz val="11"/>
        <color rgb="FF1155CC"/>
        <rFont val="Calibri"/>
        <family val="2"/>
      </rPr>
      <t>https://shop.teamsg.in/products/players-xtreme?_pos=1&amp;_sid=386c657d1&amp;_ss=r&amp;variant=46901749547296</t>
    </r>
  </si>
  <si>
    <t>SG KLR Lite 2.0 Cricket Batting Legguard (Batting Pad)</t>
  </si>
  <si>
    <t>KL Rahul</t>
  </si>
  <si>
    <r>
      <rPr>
        <u/>
        <sz val="11"/>
        <color rgb="FF1155CC"/>
        <rFont val="Calibri"/>
        <family val="2"/>
      </rPr>
      <t>https://shop.teamsg.in/products/sg-klr-lite-2-0-batting-legguards?_pos=1&amp;_sid=2c284af2e&amp;_ss=r&amp;variant=49888183943456</t>
    </r>
  </si>
  <si>
    <r>
      <rPr>
        <u/>
        <sz val="11"/>
        <color rgb="FF1155CC"/>
        <rFont val="Calibri"/>
        <family val="2"/>
      </rPr>
      <t>https://shop.teamsg.in/products/sg-shield-batting-legguards?_pos=1&amp;_sid=8e278e4b6&amp;_ss=r&amp;variant=49952112116000</t>
    </r>
  </si>
  <si>
    <r>
      <rPr>
        <u/>
        <sz val="11"/>
        <color rgb="FF1155CC"/>
        <rFont val="Calibri"/>
        <family val="2"/>
      </rPr>
      <t>https://shop.teamsg.in/products/sg-shield-batting-legguards?variant=49952112083232</t>
    </r>
  </si>
  <si>
    <r>
      <rPr>
        <u/>
        <sz val="11"/>
        <color rgb="FF1155CC"/>
        <rFont val="Calibri"/>
        <family val="2"/>
      </rPr>
      <t>https://shop.teamsg.in/products/sg-shield-batting-legguards?variant=49993877684512</t>
    </r>
  </si>
  <si>
    <r>
      <rPr>
        <u/>
        <sz val="11"/>
        <color rgb="FF1155CC"/>
        <rFont val="Calibri"/>
        <family val="2"/>
      </rPr>
      <t>https://shop.teamsg.in/products/super-club?variant=46901912764704</t>
    </r>
  </si>
  <si>
    <r>
      <rPr>
        <u/>
        <sz val="11"/>
        <color rgb="FF1155CC"/>
        <rFont val="Calibri"/>
        <family val="2"/>
      </rPr>
      <t>https://shop.teamsg.in/products/super-club?variant=46901912731936</t>
    </r>
  </si>
  <si>
    <r>
      <rPr>
        <u/>
        <sz val="11"/>
        <color rgb="FF1155CC"/>
        <rFont val="Calibri"/>
        <family val="2"/>
      </rPr>
      <t>https://shop.teamsg.in/products/super-club?variant=46901912699168</t>
    </r>
  </si>
  <si>
    <t>Not Available on SG</t>
  </si>
  <si>
    <t>https://shop.teamsg.in/products/supalite?variant=46901911683360</t>
  </si>
  <si>
    <t>https://shop.teamsg.in/products/supalite?variant=46901911650592</t>
  </si>
  <si>
    <t>https://shop.teamsg.in/products/supalite?_pos=1&amp;_sid=c5cccb1dd&amp;_ss=r</t>
  </si>
  <si>
    <t>Cricket Set Kit</t>
  </si>
  <si>
    <t>https://shop.teamsg.in/products/sg-kashmir-willow-economy-kit?_pos=2&amp;_sid=bb6206cd6&amp;_ss=r&amp;variant=46901812691232</t>
  </si>
  <si>
    <t>https://shop.teamsg.in/products/sg-kashmir-willow-economy-kit?variant=46901812592928</t>
  </si>
  <si>
    <t>https://shop.teamsg.in/products/sg-kashmir-willow-economy-kit?variant=46901812625696</t>
  </si>
  <si>
    <t>https://shop.teamsg.in/products/sg-kashmir-willow-economy-kit?variant=46901812658464</t>
  </si>
  <si>
    <r>
      <rPr>
        <u/>
        <sz val="11"/>
        <color rgb="FF1155CC"/>
        <rFont val="Calibri, sans-serif"/>
      </rPr>
      <t>https://bestcricketstore.com/product/sg-youth-premium-cricket-kit/</t>
    </r>
  </si>
  <si>
    <t>https://shop.teamsg.in/products/kit-bag-sg-22-yard-duffle-1?_pos=1&amp;_sid=b005f7a64&amp;_ss=r</t>
  </si>
  <si>
    <t>https://shop.teamsg.in/products/kit-bag-sg-22-yard-x2-trolley?_pos=1&amp;_sid=fa7d0da71&amp;_ss=r</t>
  </si>
  <si>
    <t>https://shop.teamsg.in/products/kit-bag-sg-22-yard-x3-wheelie?_pos=1&amp;_sid=28bea84cf&amp;_ss=r</t>
  </si>
  <si>
    <t>EXTREMEPAK PLUS 2 0 TROLLEY</t>
  </si>
  <si>
    <t>https://shop.teamsg.in/products/sg-extremepak-2-0-plus-trolly-kit-bag?_pos=1&amp;_sid=e25c24b5f&amp;_ss=r</t>
  </si>
  <si>
    <t>https://shop.teamsg.in/products/club-white?_pos=1&amp;_sid=897d30a42&amp;_ss=r</t>
  </si>
  <si>
    <r>
      <rPr>
        <u/>
        <sz val="11"/>
        <color rgb="FF1155CC"/>
        <rFont val="Calibri"/>
        <family val="2"/>
      </rPr>
      <t>https://www.procricketshop.com/products/sg-club-white-ball?_pos=3&amp;_sid=05a09ed1d&amp;_ss=r</t>
    </r>
  </si>
  <si>
    <t>https://shop.teamsg.in/products/sg-shield-20-white-high-quality-two-piece-leather-cricket-ball-made-from-high-quality-alum-tanned-leather?_pos=1&amp;_sid=95befa81b&amp;_ss=r</t>
  </si>
  <si>
    <r>
      <rPr>
        <u/>
        <sz val="11"/>
        <color rgb="FF1155CC"/>
        <rFont val="Calibri"/>
        <family val="2"/>
      </rPr>
      <t>https://shop.teamsg.in/products/super-cover?_pos=1&amp;_psq=Cricket+Bat+SG+SUPER+COVER+No+4&amp;_ss=e&amp;_v=1.0&amp;variant=46901915189536</t>
    </r>
  </si>
  <si>
    <r>
      <rPr>
        <u/>
        <sz val="11"/>
        <color rgb="FF1155CC"/>
        <rFont val="Calibri"/>
        <family val="2"/>
      </rPr>
      <t>https://shop.teamsg.in/products/super-cover?variant=46901915255072</t>
    </r>
  </si>
  <si>
    <r>
      <rPr>
        <u/>
        <sz val="11"/>
        <color rgb="FF1155CC"/>
        <rFont val="Calibri"/>
        <family val="2"/>
      </rPr>
      <t>https://shop.teamsg.in/products/super-cover?variant=46901915222304</t>
    </r>
  </si>
  <si>
    <r>
      <rPr>
        <u/>
        <sz val="11"/>
        <color rgb="FF1155CC"/>
        <rFont val="Calibri"/>
        <family val="2"/>
      </rPr>
      <t>https://shop.teamsg.in/products/super-cover?variant=46901915156768</t>
    </r>
  </si>
  <si>
    <r>
      <rPr>
        <u/>
        <sz val="11"/>
        <color rgb="FF1155CC"/>
        <rFont val="Calibri"/>
        <family val="2"/>
      </rPr>
      <t>https://shop.teamsg.in/products/cobra-xtreme?_pos=1&amp;_psq=Cricket+Bat+SG+COBRA+XTREME&amp;_ss=e&amp;_v=1.0</t>
    </r>
  </si>
  <si>
    <r>
      <rPr>
        <u/>
        <sz val="11"/>
        <color rgb="FF1155CC"/>
        <rFont val="Calibri"/>
        <family val="2"/>
      </rPr>
      <t>https://shop.teamsg.in/products/sg-rsd-xtreme-traditionally-shaped-english-willow-grade-6-cricket-bat-leather-ball?variant=46901871345952</t>
    </r>
  </si>
  <si>
    <r>
      <rPr>
        <u/>
        <sz val="11"/>
        <color rgb="FF1155CC"/>
        <rFont val="Calibri"/>
        <family val="2"/>
      </rPr>
      <t>https://shop.teamsg.in/products/sg-rsd-xtreme-traditionally-shaped-english-willow-grade-6-cricket-bat-leather-ball?variant=46901871313184</t>
    </r>
  </si>
  <si>
    <r>
      <rPr>
        <u/>
        <sz val="11"/>
        <color rgb="FF1155CC"/>
        <rFont val="Calibri"/>
        <family val="2"/>
      </rPr>
      <t>https://shop.teamsg.in/products/sg-rsd-xtreme-traditionally-shaped-english-willow-grade-6-cricket-bat-leather-ball?variant=46901871280416</t>
    </r>
  </si>
  <si>
    <r>
      <rPr>
        <u/>
        <sz val="11"/>
        <color rgb="FF1155CC"/>
        <rFont val="Calibri"/>
        <family val="2"/>
      </rPr>
      <t>https://shop.teamsg.in/products/sg-rsd-xtreme-traditionally-shaped-english-willow-grade-6-cricket-bat-leather-ball?variant=46901871247648</t>
    </r>
  </si>
  <si>
    <t>Hardik Pandya</t>
  </si>
  <si>
    <r>
      <rPr>
        <u/>
        <sz val="11"/>
        <color rgb="FF1155CC"/>
        <rFont val="Calibri"/>
        <family val="2"/>
      </rPr>
      <t>https://shop.teamsg.in/products/sizechart-shoe-2?variant=46901783462176</t>
    </r>
  </si>
  <si>
    <r>
      <rPr>
        <u/>
        <sz val="11"/>
        <color rgb="FF1155CC"/>
        <rFont val="Calibri"/>
        <family val="2"/>
      </rPr>
      <t>https://shop.teamsg.in/products/sizechart-shoe-2?_pos=2&amp;_sid=751bbb960&amp;_ss=r</t>
    </r>
  </si>
  <si>
    <r>
      <rPr>
        <u/>
        <sz val="11"/>
        <color rgb="FF1155CC"/>
        <rFont val="Calibri"/>
        <family val="2"/>
      </rPr>
      <t>https://shop.teamsg.in/products/boundary-xtreme?variant=46901757870368</t>
    </r>
  </si>
  <si>
    <r>
      <rPr>
        <u/>
        <sz val="11"/>
        <color rgb="FF1155CC"/>
        <rFont val="Calibri"/>
        <family val="2"/>
      </rPr>
      <t>https://shop.teamsg.in/products/boundary-xtreme?variant=46901757837600</t>
    </r>
  </si>
  <si>
    <r>
      <rPr>
        <u/>
        <sz val="11"/>
        <color rgb="FF1155CC"/>
        <rFont val="Calibri"/>
        <family val="2"/>
      </rPr>
      <t>https://shop.teamsg.in/products/boundary-xtreme?variant=46901757804832</t>
    </r>
  </si>
  <si>
    <r>
      <rPr>
        <u/>
        <sz val="11"/>
        <color rgb="FF1155CC"/>
        <rFont val="Calibri"/>
        <family val="2"/>
      </rPr>
      <t>https://shop.teamsg.in/products/boundary-xtreme?variant=46901757772064</t>
    </r>
  </si>
  <si>
    <r>
      <rPr>
        <u/>
        <sz val="11"/>
        <color rgb="FF1155CC"/>
        <rFont val="Calibri"/>
        <family val="2"/>
      </rPr>
      <t>https://shop.teamsg.in/products/sg-t-1400-kashmir-willow-scoop-bat-for-tennis-cricket-ball?_pos=1&amp;_sid=5abb1a17c&amp;_ss=r</t>
    </r>
  </si>
  <si>
    <r>
      <rPr>
        <u/>
        <sz val="11"/>
        <color rgb="FF1155CC"/>
        <rFont val="Calibri"/>
        <family val="2"/>
      </rPr>
      <t>https://shop.teamsg.in/products/sg-kashmir-willow-cricket-bat-tennis-ball-t-1600?_pos=1&amp;_sid=a2c5740ce&amp;_ss=r</t>
    </r>
  </si>
  <si>
    <r>
      <rPr>
        <u/>
        <sz val="11"/>
        <color rgb="FF1155CC"/>
        <rFont val="Calibri, sans-serif"/>
      </rPr>
      <t>https://bestcricketstore.com/product/sg-ik-players-english-willow-cricket-bat/</t>
    </r>
  </si>
  <si>
    <t>https://shop.teamsg.in/products/sg-sierra-2-0-cricket-sports-shoes?_pos=3&amp;_sid=babd64095&amp;_ss=r&amp;variant=46901887140128</t>
  </si>
  <si>
    <t>https://shop.teamsg.in/products/sg-sierra-2-0-cricket-sports-shoes?variant=46901887238432</t>
  </si>
  <si>
    <t>https://shop.teamsg.in/products/sg-sierra-2-0-cricket-sports-shoes?variant=46901887271200</t>
  </si>
  <si>
    <t>https://shop.teamsg.in/products/sg-sierra-2-0-cricket-sports-shoes?variant=46901887303968</t>
  </si>
  <si>
    <t>https://shop.teamsg.in/products/sg-sierra-2-0-cricket-sports-shoes?variant=46901887205664</t>
  </si>
  <si>
    <t>https://shop.teamsg.in/products/sg-sierra-2-0-cricket-sports-shoes?variant=46901887172896</t>
  </si>
  <si>
    <t>https://shop.teamsg.in/products/sg-savage-spikes-sports-shoes?variant=46901876654368</t>
  </si>
  <si>
    <t>https://shop.teamsg.in/products/sg-savage-spikes-sports-shoes?variant=46901876687136</t>
  </si>
  <si>
    <t>https://shop.teamsg.in/products/sg-savage-spikes-sports-shoes?variant=46901876719904</t>
  </si>
  <si>
    <t>https://shop.teamsg.in/products/sg-savage-spikes-sports-shoes?variant=46901876752672</t>
  </si>
  <si>
    <t>https://shop.teamsg.in/products/sg-century-6-0-sports-shoes-white-royal-blue-orange?_pos=1&amp;_sid=fe792f786&amp;_ss=r&amp;variant=47200575815968</t>
  </si>
  <si>
    <r>
      <rPr>
        <u/>
        <sz val="11"/>
        <color rgb="FF1155CC"/>
        <rFont val="Calibri, sans-serif"/>
      </rPr>
      <t>https://bestcricketstore.com/product/sg-century-6-0-cricket-shoes/</t>
    </r>
  </si>
  <si>
    <t>https://shop.teamsg.in/products/sg-century-6-0-sports-shoes-white-royal-blue-orange?variant=47200575848736</t>
  </si>
  <si>
    <t>https://shop.teamsg.in/products/sg-century-6-0-sports-shoes-white-royal-blue-orange?variant=47200575619360</t>
  </si>
  <si>
    <t>https://shop.teamsg.in/products/sg-century-6-0-sports-shoes-white-royal-blue-orange?variant=47200575652128</t>
  </si>
  <si>
    <t>https://shop.teamsg.in/products/sg-century-6-0-sports-shoes-white-royal-blue-orange?variant=47200575684896</t>
  </si>
  <si>
    <t>https://shop.teamsg.in/products/sg-century-6-0-sports-shoes-white-royal-blue-orange?variant=47200575717664</t>
  </si>
  <si>
    <t>https://shop.teamsg.in/products/sg-century-6-0-sports-shoes-white-royal-blue-orange?variant=47200575750432</t>
  </si>
  <si>
    <t>https://shop.teamsg.in/products/sg-century-6-0-sports-shoes-white-royal-blue-orange?variant=47200575783200</t>
  </si>
  <si>
    <t>https://shop.teamsg.in/products/sg-fusion-shoe-teal-white-no-6?variant=47563468013856</t>
  </si>
  <si>
    <t>https://shop.teamsg.in/products/sg-fusion-shoe-teal-white-no-6?variant=47563468046624</t>
  </si>
  <si>
    <r>
      <rPr>
        <u/>
        <sz val="11"/>
        <color rgb="FF1155CC"/>
        <rFont val="Calibri, sans-serif"/>
      </rPr>
      <t>https://bestcricketstore.com/product/sg-fusion-cricket-shoes/</t>
    </r>
  </si>
  <si>
    <t>https://shop.teamsg.in/products/sg-fusion-shoe-teal-white-no-6?variant=47563468144928</t>
  </si>
  <si>
    <t>https://shop.teamsg.in/products/sg-fusion-shoe-teal-white-no-6?variant=47563468177696</t>
  </si>
  <si>
    <r>
      <rPr>
        <u/>
        <sz val="11"/>
        <color rgb="FF1155CC"/>
        <rFont val="Calibri, sans-serif"/>
      </rPr>
      <t>https://bestcricketstore.com/product/sg-ultimate-combo-thig-guard-2022/</t>
    </r>
  </si>
  <si>
    <r>
      <rPr>
        <u/>
        <sz val="11"/>
        <color rgb="FF1155CC"/>
        <rFont val="Calibri"/>
        <family val="2"/>
      </rPr>
      <t>https://www.procricketshop.com/products/sg-ultimate-combo-thigh-guard?_pos=1&amp;_sid=68e40fde5&amp;_ss=r</t>
    </r>
  </si>
  <si>
    <t>https://shop.teamsg.in/products/super-test-3?variant=46901917614368</t>
  </si>
  <si>
    <r>
      <rPr>
        <u/>
        <sz val="11"/>
        <color rgb="FF1155CC"/>
        <rFont val="Calibri, sans-serif"/>
      </rPr>
      <t>https://bestcricketstore.com/product/sg-super-test-elbow-guard/</t>
    </r>
  </si>
  <si>
    <t>https://shop.teamsg.in/products/sg-test-elbow-guard-1?variant=47044107174176</t>
  </si>
  <si>
    <t>https://shop.teamsg.in/products/sg-test-elbow-guard-1?variant=47044107108640</t>
  </si>
  <si>
    <t>https://shop.teamsg.in/products/radix-2?_pos=1&amp;_psq=Elbow+Guard+SG+RADIX&amp;_ss=e&amp;_v=1.0</t>
  </si>
  <si>
    <t>https://shop.teamsg.in/products/sg-test-elbow-guard-1?variant=47044107141408</t>
  </si>
  <si>
    <r>
      <rPr>
        <u/>
        <sz val="11"/>
        <color rgb="FF1155CC"/>
        <rFont val="Calibri"/>
        <family val="2"/>
      </rPr>
      <t>https://www.procricketshop.com/products/sg-test-elbow-guards?_pos=4&amp;_sid=336596d1b&amp;_ss=r</t>
    </r>
  </si>
  <si>
    <t>https://shop.teamsg.in/products/aerotech-2-0?variant=46901753479456</t>
  </si>
  <si>
    <t>https://shop.teamsg.in/products/aerotech-2-0?variant=46901753446688</t>
  </si>
  <si>
    <t>https://shop.teamsg.in/products/aerotech-2-0?variant=46901753413920</t>
  </si>
  <si>
    <t>https://shop.teamsg.in/products/aerotech-2-0?variant=46901753381152</t>
  </si>
  <si>
    <t>https://shop.teamsg.in/products/aeroshield-2-0?variant=46901753151776</t>
  </si>
  <si>
    <t>https://shop.teamsg.in/products/aeroshield-2-0?variant=46901753119008</t>
  </si>
  <si>
    <t>https://shop.teamsg.in/products/aeroshield-2-0?variant=46901753086240</t>
  </si>
  <si>
    <t>https://shop.teamsg.in/products/aeroshield-2-0?variant=46901753053472</t>
  </si>
  <si>
    <t>https://shop.teamsg.in/products/aeroshield-2-0?variant=46901753020704</t>
  </si>
  <si>
    <t>https://shop.teamsg.in/products/club-6?variant=46901780545824</t>
  </si>
  <si>
    <r>
      <rPr>
        <u/>
        <sz val="11"/>
        <color rgb="FF1155CC"/>
        <rFont val="Calibri"/>
        <family val="2"/>
      </rPr>
      <t>https://www.procricketshop.com/products/sg-club-inner-gloves-for-wicket-keeping-and-batting?_pos=1&amp;_sid=645b756b2&amp;_ss=r</t>
    </r>
  </si>
  <si>
    <t>https://shop.teamsg.in/products/club-6?variant=46901780611360</t>
  </si>
  <si>
    <t>https://shop.teamsg.in/products/club-6?variant=46901780644128</t>
  </si>
  <si>
    <t>https://shop.teamsg.in/products/proflex-2?_pos=1&amp;_sid=49e31c1b8&amp;_ss=r&amp;variant=46901849784608</t>
  </si>
  <si>
    <t>https://shop.teamsg.in/products/radix?_pos=1&amp;_sid=b9fad1041&amp;_ss=r&amp;variant=46901855715616</t>
  </si>
  <si>
    <r>
      <rPr>
        <u/>
        <sz val="11"/>
        <color rgb="FF1155CC"/>
        <rFont val="Calibri"/>
        <family val="2"/>
      </rPr>
      <t>https://shop.teamsg.in/products/batting-legguards-sg-x-gt-1-0-copy-3?variant=49823839420704</t>
    </r>
  </si>
  <si>
    <r>
      <rPr>
        <u/>
        <sz val="11"/>
        <color rgb="FF1155CC"/>
        <rFont val="Calibri"/>
        <family val="2"/>
      </rPr>
      <t>https://shop.teamsg.in/products/batting-legguards-sg-x-gt-1-0-copy-3?variant=49823839486240</t>
    </r>
  </si>
  <si>
    <r>
      <rPr>
        <u/>
        <sz val="11"/>
        <color rgb="FF1155CC"/>
        <rFont val="Calibri"/>
        <family val="2"/>
      </rPr>
      <t>https://shop.teamsg.in/products/radix-3?_pos=1&amp;_sid=ded203919&amp;_ss=r</t>
    </r>
  </si>
  <si>
    <r>
      <rPr>
        <u/>
        <sz val="11"/>
        <color rgb="FF1155CC"/>
        <rFont val="Calibri"/>
        <family val="2"/>
      </rPr>
      <t>https://shop.teamsg.in/products/sg-litevate-cricket-thigh-pad?_pos=1&amp;_sid=7b99761f6&amp;_ss=r&amp;variant=46901829566752</t>
    </r>
  </si>
  <si>
    <r>
      <rPr>
        <u/>
        <sz val="11"/>
        <color rgb="FF1155CC"/>
        <rFont val="Calibri"/>
        <family val="2"/>
      </rPr>
      <t>https://shop.teamsg.in/products/pro-2?variant=46901847327008</t>
    </r>
  </si>
  <si>
    <r>
      <rPr>
        <u/>
        <sz val="11"/>
        <color rgb="FF1155CC"/>
        <rFont val="Calibri"/>
        <family val="2"/>
      </rPr>
      <t>https://www.procricketshop.com/products/sg-pro-thigh-pad-thigh-guards?_pos=2&amp;_sid=060d6f29b&amp;_ss=r</t>
    </r>
  </si>
  <si>
    <r>
      <rPr>
        <u/>
        <sz val="11"/>
        <color rgb="FF1155CC"/>
        <rFont val="Calibri"/>
        <family val="2"/>
      </rPr>
      <t>https://shop.teamsg.in/products/batting-legguards-sg-x-gt-1-0-copy-3?variant=49823843549472</t>
    </r>
  </si>
  <si>
    <r>
      <rPr>
        <u/>
        <sz val="11"/>
        <color rgb="FF1155CC"/>
        <rFont val="Calibri"/>
        <family val="2"/>
      </rPr>
      <t>https://shop.teamsg.in/products/combo-ultimate?variant=46901787033888</t>
    </r>
  </si>
  <si>
    <r>
      <rPr>
        <u/>
        <sz val="11"/>
        <color rgb="FF1155CC"/>
        <rFont val="Calibri"/>
        <family val="2"/>
      </rPr>
      <t>https://www.procricketshop.com/products/sg-ultimate-combo-thigh-guard?variant=40742785515697</t>
    </r>
  </si>
  <si>
    <r>
      <rPr>
        <u/>
        <sz val="11"/>
        <color rgb="FF1155CC"/>
        <rFont val="Calibri"/>
        <family val="2"/>
      </rPr>
      <t>https://shop.teamsg.in/products/combo-ultimate?variant=46901786968352</t>
    </r>
  </si>
  <si>
    <r>
      <rPr>
        <u/>
        <sz val="11"/>
        <color rgb="FF1155CC"/>
        <rFont val="Calibri"/>
        <family val="2"/>
      </rPr>
      <t>https://shop.teamsg.in/products/sg-combo-players-cricket-batting-thigh-pad?variant=46901786149152</t>
    </r>
  </si>
  <si>
    <r>
      <rPr>
        <u/>
        <sz val="11"/>
        <color rgb="FF1155CC"/>
        <rFont val="Calibri"/>
        <family val="2"/>
      </rPr>
      <t>https://shop.teamsg.in/products/sg-combo-players-cricket-batting-thigh-pad?variant=46901786083616</t>
    </r>
  </si>
  <si>
    <r>
      <rPr>
        <u/>
        <sz val="11"/>
        <color rgb="FF1155CC"/>
        <rFont val="Calibri"/>
        <family val="2"/>
      </rPr>
      <t>https://shop.teamsg.in/products/sg-combo-ace-protector-cricket-batting-thigh-pad-white?variant=46901785723168</t>
    </r>
  </si>
  <si>
    <r>
      <rPr>
        <u/>
        <sz val="11"/>
        <color rgb="FF1155CC"/>
        <rFont val="Calibri"/>
        <family val="2"/>
      </rPr>
      <t>https://www.procricketshop.com/products/sg-ace-protector-thigh-guard-black?_pos=2&amp;_sid=6f8344b06&amp;_ss=r</t>
    </r>
  </si>
  <si>
    <t>https://shop.teamsg.in/products/league-3?variant=46901825437984</t>
  </si>
  <si>
    <t>W K Gloves SG SUPER CLUB Youth</t>
  </si>
  <si>
    <t>https://shop.teamsg.in/products/super-club-2?variant=46901913747744</t>
  </si>
  <si>
    <t>W K Gloves SG SUPER CLUB Junior</t>
  </si>
  <si>
    <t>https://shop.teamsg.in/products/super-club-2?_pos=1&amp;_sid=b042adaf2&amp;_ss=r&amp;variant=46901913714976</t>
  </si>
  <si>
    <t>W K Gloves SG CLUB Youth</t>
  </si>
  <si>
    <t>https://shop.teamsg.in/products/club-3?variant=46901780906272</t>
  </si>
  <si>
    <t>W K Gloves SG CLUB Junior</t>
  </si>
  <si>
    <t>W K Gloves SG CLUB S Junior</t>
  </si>
  <si>
    <t>https://shop.teamsg.in/products/club-3?variant=46901780840736</t>
  </si>
  <si>
    <t>https://shop.teamsg.in/products/rsd-xtreme-2?variant=46901870690592</t>
  </si>
  <si>
    <t>W K Legguards SG CLUB Youth</t>
  </si>
  <si>
    <r>
      <rPr>
        <u/>
        <sz val="11"/>
        <color rgb="FF1155CC"/>
        <rFont val="Calibri"/>
        <family val="2"/>
      </rPr>
      <t>https://shop.teamsg.in/products/club-4?variant=46901776482592</t>
    </r>
  </si>
  <si>
    <t>https://shop.teamsg.in/products/super-test?variant=46901919416608</t>
  </si>
  <si>
    <r>
      <rPr>
        <u/>
        <sz val="11"/>
        <color rgb="FF1155CC"/>
        <rFont val="Calibri"/>
        <family val="2"/>
      </rPr>
      <t>https://shop.teamsg.in/products/campus-2?variant=46901759410464</t>
    </r>
  </si>
  <si>
    <t>W K Legguards SG CLUB Junior</t>
  </si>
  <si>
    <r>
      <rPr>
        <u/>
        <sz val="11"/>
        <color rgb="FF1155CC"/>
        <rFont val="Calibri"/>
        <family val="2"/>
      </rPr>
      <t>https://shop.teamsg.in/products/club-4?variant=46901776449824</t>
    </r>
  </si>
  <si>
    <t>W K Legguards SG CLUB S Junior</t>
  </si>
  <si>
    <r>
      <rPr>
        <u/>
        <sz val="11"/>
        <color rgb="FF1155CC"/>
        <rFont val="Calibri"/>
        <family val="2"/>
      </rPr>
      <t>https://shop.teamsg.in/products/club-4?_pos=1&amp;_sid=159cafac2&amp;_ss=r</t>
    </r>
  </si>
  <si>
    <r>
      <rPr>
        <u/>
        <sz val="11"/>
        <color rgb="FF1155CC"/>
        <rFont val="Calibri"/>
        <family val="2"/>
      </rPr>
      <t>https://shop.teamsg.in/products/nylite?_pos=1&amp;_sid=a8174d2ba&amp;_ss=r</t>
    </r>
  </si>
  <si>
    <t>22 Yards Selling Price</t>
  </si>
  <si>
    <r>
      <rPr>
        <u/>
        <sz val="11"/>
        <color rgb="FF1155CC"/>
        <rFont val="Calibri, sans-serif"/>
      </rPr>
      <t>https://bestcricketstore.com/product/best-cricket-store-mini-autograph-bat/</t>
    </r>
  </si>
  <si>
    <r>
      <rPr>
        <u/>
        <sz val="11"/>
        <color rgb="FF1155CC"/>
        <rFont val="Calibri"/>
        <family val="2"/>
      </rPr>
      <t>https://shop.teamsg.in/products/sg-maxilite-ult-batting-gloves?variant=49951999033632</t>
    </r>
  </si>
  <si>
    <r>
      <rPr>
        <u/>
        <sz val="11"/>
        <color rgb="FF1155CC"/>
        <rFont val="Calibri"/>
        <family val="2"/>
      </rPr>
      <t>https://shop.teamsg.in/products/sg-maxilite-ult-batting-gloves?variant=49886328488224</t>
    </r>
  </si>
  <si>
    <r>
      <rPr>
        <u/>
        <sz val="11"/>
        <color rgb="FF1155CC"/>
        <rFont val="Calibri"/>
        <family val="2"/>
      </rPr>
      <t>https://shop.teamsg.in/products/sg-savage-lite-batting-gloves-1?variant=49952012894496</t>
    </r>
  </si>
  <si>
    <r>
      <rPr>
        <u/>
        <sz val="11"/>
        <color rgb="FF1155CC"/>
        <rFont val="Calibri"/>
        <family val="2"/>
      </rPr>
      <t>https://www.procricketshop.com/products/sg-savage-lite-batting-gloves?variant=37908109426865</t>
    </r>
  </si>
  <si>
    <r>
      <rPr>
        <u/>
        <sz val="11"/>
        <color rgb="FF1155CC"/>
        <rFont val="Calibri"/>
        <family val="2"/>
      </rPr>
      <t>https://shop.teamsg.in/products/sg-savage-lite-batting-gloves-1?variant=49952012960032</t>
    </r>
  </si>
  <si>
    <r>
      <rPr>
        <u/>
        <sz val="11"/>
        <color rgb="FF1155CC"/>
        <rFont val="Calibri"/>
        <family val="2"/>
      </rPr>
      <t>https://shop.teamsg.in/products/sg-rp-club-batting-gloves?_pos=1&amp;_sid=f4088219d&amp;_ss=r&amp;variant=49888061292832</t>
    </r>
  </si>
  <si>
    <r>
      <rPr>
        <u/>
        <sz val="11"/>
        <color rgb="FF1155CC"/>
        <rFont val="Calibri"/>
        <family val="2"/>
      </rPr>
      <t>https://www.procricketshop.com/products/sg-club-batting-gloves?_pos=9&amp;_sid=7ad520612&amp;_ss=r</t>
    </r>
  </si>
  <si>
    <r>
      <rPr>
        <u/>
        <sz val="11"/>
        <color rgb="FF1155CC"/>
        <rFont val="Calibri"/>
        <family val="2"/>
      </rPr>
      <t>https://shop.teamsg.in/products/sg-rp-excelite-batting-gloves?variant=49888082264352</t>
    </r>
  </si>
  <si>
    <r>
      <rPr>
        <u/>
        <sz val="11"/>
        <color rgb="FF1155CC"/>
        <rFont val="Calibri, sans-serif"/>
      </rPr>
      <t>https://bestcricketstore.com/product/sg-excelite-batting-gloves-2024/</t>
    </r>
  </si>
  <si>
    <r>
      <rPr>
        <u/>
        <sz val="11"/>
        <color rgb="FF1155CC"/>
        <rFont val="Calibri"/>
        <family val="2"/>
      </rPr>
      <t>https://shop.teamsg.in/products/sg-rp-club-batting-gloves?variant=49888061161760</t>
    </r>
  </si>
  <si>
    <r>
      <rPr>
        <u/>
        <sz val="11"/>
        <color rgb="FF1155CC"/>
        <rFont val="Calibri"/>
        <family val="2"/>
      </rPr>
      <t>https://shop.teamsg.in/products/sg-rp-club-batting-gloves?variant=49888061128992</t>
    </r>
  </si>
  <si>
    <r>
      <rPr>
        <u/>
        <sz val="11"/>
        <color rgb="FF1155CC"/>
        <rFont val="Calibri"/>
        <family val="2"/>
      </rPr>
      <t>https://shop.teamsg.in/products/sg-rp-excelite-batting-gloves?variant=49888088260896</t>
    </r>
  </si>
  <si>
    <r>
      <rPr>
        <u/>
        <sz val="11"/>
        <color rgb="FF1155CC"/>
        <rFont val="Calibri"/>
        <family val="2"/>
      </rPr>
      <t>https://www.procricketshop.com/products/sg-players-xtreme-batting-pads-men?_pos=1&amp;_sid=c888e15fc&amp;_ss=r</t>
    </r>
  </si>
  <si>
    <r>
      <rPr>
        <u/>
        <sz val="11"/>
        <color rgb="FF1155CC"/>
        <rFont val="Calibri"/>
        <family val="2"/>
      </rPr>
      <t>https://www.procricketshop.com/products/sg-rp-premium-cricket-kit-bag?_pos=1&amp;_sid=c6c1727a1&amp;_ss=r</t>
    </r>
  </si>
  <si>
    <r>
      <rPr>
        <u/>
        <sz val="11"/>
        <color rgb="FF1155CC"/>
        <rFont val="Calibri, sans-serif"/>
      </rPr>
      <t>https://bestcricketstore.com/product/sg-22-yard-duffel-bag/</t>
    </r>
  </si>
  <si>
    <t>https://shop.teamsg.in/products/kit-bag-sg-22-yard-x1-duffle-wheelie?_pos=1&amp;_sid=6e19f4794&amp;_ss=r</t>
  </si>
  <si>
    <r>
      <rPr>
        <u/>
        <sz val="11"/>
        <color rgb="FF1155CC"/>
        <rFont val="Calibri, sans-serif"/>
      </rPr>
      <t>https://bestcricketstore.com/product/sg-22-yard-x1-duffel-wheelie-bag/</t>
    </r>
  </si>
  <si>
    <r>
      <rPr>
        <u/>
        <sz val="11"/>
        <color rgb="FF1155CC"/>
        <rFont val="Calibri, sans-serif"/>
      </rPr>
      <t>https://bestcricketstore.com/product/sg-22-yard-x2-trolley-kit-bag/</t>
    </r>
  </si>
  <si>
    <r>
      <rPr>
        <u/>
        <sz val="11"/>
        <color rgb="FF1155CC"/>
        <rFont val="Calibri"/>
        <family val="2"/>
      </rPr>
      <t>https://www.procricketshop.com/products/sg-super-test-cricket-batting-elbow-guard-mens?_pos=1&amp;_sid=6e67a1d43&amp;_ss=r</t>
    </r>
  </si>
  <si>
    <t>https://shop.teamsg.in/products/test-6?_pos=1&amp;_sid=1971b6d95&amp;_ss=r</t>
  </si>
  <si>
    <r>
      <rPr>
        <u/>
        <sz val="11"/>
        <color rgb="FF1155CC"/>
        <rFont val="Calibri, sans-serif"/>
      </rPr>
      <t>https://bestcricketstore.com/product/sg-test-ro-batting-gloves/</t>
    </r>
  </si>
  <si>
    <t>https://shop.teamsg.in/products/club-6?_pos=1&amp;_psq=Inner+Gloves+SG+CLUB&amp;_ss=e&amp;_v=1.0</t>
  </si>
  <si>
    <t>https://shop.teamsg.in/products/league-6?_pos=1&amp;_sid=7ef41f464&amp;_ss=r</t>
  </si>
  <si>
    <r>
      <rPr>
        <u/>
        <sz val="11"/>
        <color rgb="FF1155CC"/>
        <rFont val="Calibri, sans-serif"/>
      </rPr>
      <t>https://www.procricketshop.com/products/sg-proflex-cricket-wicket-keeping-legguards?_pos=1&amp;_sid=650fb9183&amp;_ss=r</t>
    </r>
  </si>
  <si>
    <r>
      <rPr>
        <u/>
        <sz val="11"/>
        <color rgb="FF1155CC"/>
        <rFont val="Calibri"/>
        <family val="2"/>
      </rPr>
      <t>https://bestcricketstore.com/product/sg-proflex-keeping-pads-2022/</t>
    </r>
  </si>
  <si>
    <r>
      <rPr>
        <u/>
        <sz val="11"/>
        <color rgb="FF1155CC"/>
        <rFont val="Calibri, sans-serif"/>
      </rPr>
      <t>https://bestcricketstore.com/product/sg-league-batting-gloves-2024/</t>
    </r>
  </si>
  <si>
    <t>https://shop.teamsg.in/products/club-3?_pos=1&amp;_sid=ea3a7d3d4&amp;_ss=r&amp;variant=46901780873504</t>
  </si>
  <si>
    <t>Title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</si>
</sst>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&quot;$&quot;#,##0"/>
    <numFmt numFmtId="166" formatCode="0.000"/>
  </numFmts>
  <fonts count="1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u/>
      <sz val="11"/>
      <color rgb="FF000000"/>
      <name val="Calibri"/>
      <family val="2"/>
    </font>
    <font>
      <sz val="9"/>
      <color rgb="FF442778"/>
      <name val="Arial"/>
      <family val="2"/>
    </font>
    <font>
      <b/>
      <sz val="8"/>
      <color rgb="FF000000"/>
      <name val="Arial"/>
      <family val="2"/>
    </font>
    <font>
      <u/>
      <sz val="11"/>
      <color rgb="FF1155CC"/>
      <name val="Calibri"/>
      <family val="2"/>
    </font>
    <font>
      <u/>
      <sz val="11"/>
      <color rgb="FF1155CC"/>
      <name val="Calibri, sans-serif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  <fill>
      <patternFill patternType="solid">
        <fgColor rgb="FFFCE4D6"/>
        <bgColor rgb="FFFCE4D6"/>
      </patternFill>
    </fill>
    <fill>
      <patternFill patternType="solid">
        <fgColor rgb="FFC5E0B3"/>
        <bgColor rgb="FFC5E0B3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2" xfId="0" applyFont="1" applyBorder="1"/>
    <xf numFmtId="0" fontId="9" fillId="0" borderId="3" xfId="0" applyFont="1" applyBorder="1"/>
    <xf numFmtId="0" fontId="4" fillId="0" borderId="1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4" xfId="0" applyFont="1" applyBorder="1"/>
    <xf numFmtId="0" fontId="9" fillId="0" borderId="0" xfId="0" applyFont="1" applyAlignment="1">
      <alignment horizontal="center"/>
    </xf>
    <xf numFmtId="0" fontId="9" fillId="0" borderId="0" xfId="0" applyFont="1"/>
    <xf numFmtId="0" fontId="8" fillId="7" borderId="1" xfId="0" applyFont="1" applyFill="1" applyBorder="1" applyAlignment="1">
      <alignment horizontal="center" wrapText="1"/>
    </xf>
    <xf numFmtId="0" fontId="8" fillId="7" borderId="1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 wrapText="1"/>
    </xf>
    <xf numFmtId="0" fontId="13" fillId="7" borderId="1" xfId="0" applyFont="1" applyFill="1" applyBorder="1" applyAlignment="1">
      <alignment horizontal="center"/>
    </xf>
    <xf numFmtId="2" fontId="8" fillId="7" borderId="1" xfId="0" applyNumberFormat="1" applyFont="1" applyFill="1" applyBorder="1" applyAlignment="1">
      <alignment horizontal="center" wrapText="1"/>
    </xf>
    <xf numFmtId="0" fontId="8" fillId="7" borderId="0" xfId="0" applyFont="1" applyFill="1" applyAlignment="1">
      <alignment horizontal="center"/>
    </xf>
    <xf numFmtId="0" fontId="8" fillId="4" borderId="1" xfId="0" applyFont="1" applyFill="1" applyBorder="1" applyAlignment="1">
      <alignment horizontal="center" wrapText="1"/>
    </xf>
    <xf numFmtId="0" fontId="13" fillId="5" borderId="1" xfId="0" applyFont="1" applyFill="1" applyBorder="1" applyAlignment="1">
      <alignment horizontal="center" wrapText="1"/>
    </xf>
    <xf numFmtId="0" fontId="13" fillId="6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right"/>
    </xf>
    <xf numFmtId="1" fontId="9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0" fontId="9" fillId="2" borderId="1" xfId="0" applyFont="1" applyFill="1" applyBorder="1" applyAlignment="1">
      <alignment horizontal="left"/>
    </xf>
    <xf numFmtId="165" fontId="9" fillId="0" borderId="1" xfId="0" applyNumberFormat="1" applyFont="1" applyBorder="1" applyAlignment="1">
      <alignment horizontal="center"/>
    </xf>
    <xf numFmtId="165" fontId="12" fillId="0" borderId="1" xfId="0" applyNumberFormat="1" applyFont="1" applyBorder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" xfId="0" applyFont="1" applyBorder="1"/>
    <xf numFmtId="1" fontId="9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0" fontId="8" fillId="8" borderId="1" xfId="0" applyFont="1" applyFill="1" applyBorder="1" applyAlignment="1">
      <alignment horizontal="center"/>
    </xf>
    <xf numFmtId="166" fontId="9" fillId="0" borderId="2" xfId="0" applyNumberFormat="1" applyFont="1" applyBorder="1" applyAlignment="1">
      <alignment horizontal="center"/>
    </xf>
    <xf numFmtId="164" fontId="9" fillId="0" borderId="1" xfId="0" applyNumberFormat="1" applyFont="1" applyBorder="1"/>
    <xf numFmtId="4" fontId="9" fillId="0" borderId="10" xfId="0" applyNumberFormat="1" applyFont="1" applyBorder="1" applyAlignment="1">
      <alignment horizontal="center"/>
    </xf>
    <xf numFmtId="0" fontId="9" fillId="0" borderId="10" xfId="0" applyFont="1" applyBorder="1"/>
    <xf numFmtId="4" fontId="9" fillId="0" borderId="3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0" fillId="0" borderId="0" xfId="0" applyAlignment="1">
      <alignment wrapText="1"/>
    </xf>
    <xf numFmtId="0" fontId="3" fillId="0" borderId="0" xfId="0" applyFont="1"/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7" borderId="0" xfId="0" applyFont="1" applyFill="1"/>
    <xf numFmtId="0" fontId="9" fillId="0" borderId="9" xfId="0" applyFont="1" applyBorder="1" applyAlignment="1">
      <alignment horizontal="center"/>
    </xf>
    <xf numFmtId="0" fontId="6" fillId="0" borderId="11" xfId="0" applyFont="1" applyBorder="1"/>
    <xf numFmtId="0" fontId="6" fillId="0" borderId="10" xfId="0" applyFont="1" applyBorder="1"/>
    <xf numFmtId="1" fontId="9" fillId="0" borderId="11" xfId="0" applyNumberFormat="1" applyFont="1" applyBorder="1" applyAlignment="1">
      <alignment horizontal="center"/>
    </xf>
    <xf numFmtId="0" fontId="9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3" xfId="0" applyFont="1" applyBorder="1"/>
    <xf numFmtId="0" fontId="5" fillId="2" borderId="9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procricketshop.com/products/sg-savage-lite-batting-gloves?variant=37908109426865" TargetMode="External"/><Relationship Id="rId117" Type="http://schemas.openxmlformats.org/officeDocument/2006/relationships/hyperlink" Target="https://www.procricketshop.com/products/sg-ultimate-combo-thigh-guard?_pos=1&amp;_sid=68e40fde5&amp;_ss=r" TargetMode="External"/><Relationship Id="rId21" Type="http://schemas.openxmlformats.org/officeDocument/2006/relationships/hyperlink" Target="https://shop.teamsg.in/products/sg-maxilite-ult-batting-gloves?variant=49951999033632" TargetMode="External"/><Relationship Id="rId42" Type="http://schemas.openxmlformats.org/officeDocument/2006/relationships/hyperlink" Target="https://shop.teamsg.in/products/super-club?variant=46901912699168" TargetMode="External"/><Relationship Id="rId47" Type="http://schemas.openxmlformats.org/officeDocument/2006/relationships/hyperlink" Target="https://shop.teamsg.in/products/sg-kashmir-willow-economy-kit?variant=46901812592928" TargetMode="External"/><Relationship Id="rId63" Type="http://schemas.openxmlformats.org/officeDocument/2006/relationships/hyperlink" Target="https://shop.teamsg.in/products/club-white?_pos=1&amp;_sid=897d30a42&amp;_ss=r" TargetMode="External"/><Relationship Id="rId68" Type="http://schemas.openxmlformats.org/officeDocument/2006/relationships/hyperlink" Target="https://shop.teamsg.in/products/super-cover?variant=46901915222304" TargetMode="External"/><Relationship Id="rId84" Type="http://schemas.openxmlformats.org/officeDocument/2006/relationships/hyperlink" Target="https://bestcricketstore.com/product/sg-ik-players-english-willow-cricket-bat/" TargetMode="External"/><Relationship Id="rId89" Type="http://schemas.openxmlformats.org/officeDocument/2006/relationships/hyperlink" Target="https://shop.teamsg.in/products/sg-sierra-2-0-cricket-sports-shoes?variant=46901887303968" TargetMode="External"/><Relationship Id="rId112" Type="http://schemas.openxmlformats.org/officeDocument/2006/relationships/hyperlink" Target="https://shop.teamsg.in/products/sg-fusion-shoe-teal-white-no-6?variant=47563468144928" TargetMode="External"/><Relationship Id="rId133" Type="http://schemas.openxmlformats.org/officeDocument/2006/relationships/hyperlink" Target="https://shop.teamsg.in/products/aeroshield-2-0?variant=46901753053472" TargetMode="External"/><Relationship Id="rId138" Type="http://schemas.openxmlformats.org/officeDocument/2006/relationships/hyperlink" Target="https://www.procricketshop.com/products/sg-club-inner-gloves-for-wicket-keeping-and-batting?_pos=1&amp;_sid=645b756b2&amp;_ss=r" TargetMode="External"/><Relationship Id="rId154" Type="http://schemas.openxmlformats.org/officeDocument/2006/relationships/hyperlink" Target="https://www.procricketshop.com/products/sg-pro-thigh-pad-thigh-guards?_pos=2&amp;_sid=060d6f29b&amp;_ss=r" TargetMode="External"/><Relationship Id="rId159" Type="http://schemas.openxmlformats.org/officeDocument/2006/relationships/hyperlink" Target="https://shop.teamsg.in/products/combo-ultimate?variant=46901786968352" TargetMode="External"/><Relationship Id="rId175" Type="http://schemas.openxmlformats.org/officeDocument/2006/relationships/hyperlink" Target="https://shop.teamsg.in/products/club-4?variant=46901776482592" TargetMode="External"/><Relationship Id="rId170" Type="http://schemas.openxmlformats.org/officeDocument/2006/relationships/hyperlink" Target="https://shop.teamsg.in/products/super-club-2?_pos=1&amp;_sid=b042adaf2&amp;_ss=r&amp;variant=46901913714976" TargetMode="External"/><Relationship Id="rId16" Type="http://schemas.openxmlformats.org/officeDocument/2006/relationships/hyperlink" Target="https://shop.teamsg.in/products/cricket-grip-sg-chevtech-1-pcs?_pos=1&amp;_psq=Cricket+Grip+SG+CHEVTECH+%281+Pc%29&amp;_ss=e&amp;_v=1.0" TargetMode="External"/><Relationship Id="rId107" Type="http://schemas.openxmlformats.org/officeDocument/2006/relationships/hyperlink" Target="https://shop.teamsg.in/products/sg-century-6-0-sports-shoes-white-royal-blue-orange?variant=47200575783200" TargetMode="External"/><Relationship Id="rId11" Type="http://schemas.openxmlformats.org/officeDocument/2006/relationships/hyperlink" Target="https://www.procricketshop.com/products/iball-balll-with-cord?_pos=1&amp;_sid=b09e8d705&amp;_ss=r" TargetMode="External"/><Relationship Id="rId32" Type="http://schemas.openxmlformats.org/officeDocument/2006/relationships/hyperlink" Target="https://shop.teamsg.in/products/sg-rp-club-batting-gloves?variant=49888061128992" TargetMode="External"/><Relationship Id="rId37" Type="http://schemas.openxmlformats.org/officeDocument/2006/relationships/hyperlink" Target="https://shop.teamsg.in/products/sg-shield-batting-legguards?_pos=1&amp;_sid=8e278e4b6&amp;_ss=r&amp;variant=49952112116000" TargetMode="External"/><Relationship Id="rId53" Type="http://schemas.openxmlformats.org/officeDocument/2006/relationships/hyperlink" Target="https://bestcricketstore.com/product/sg-youth-premium-cricket-kit/" TargetMode="External"/><Relationship Id="rId58" Type="http://schemas.openxmlformats.org/officeDocument/2006/relationships/hyperlink" Target="https://www.procricketshop.com/products/sg-22-yards-x1-duffle-wheelie?_pos=1&amp;_sid=74add29bf&amp;_ss=r" TargetMode="External"/><Relationship Id="rId74" Type="http://schemas.openxmlformats.org/officeDocument/2006/relationships/hyperlink" Target="https://shop.teamsg.in/products/sg-rsd-xtreme-traditionally-shaped-english-willow-grade-6-cricket-bat-leather-ball?variant=46901871247648" TargetMode="External"/><Relationship Id="rId79" Type="http://schemas.openxmlformats.org/officeDocument/2006/relationships/hyperlink" Target="https://shop.teamsg.in/products/boundary-xtreme?variant=46901757804832" TargetMode="External"/><Relationship Id="rId102" Type="http://schemas.openxmlformats.org/officeDocument/2006/relationships/hyperlink" Target="https://shop.teamsg.in/products/sg-century-6-0-sports-shoes-white-royal-blue-orange?variant=47200575684896" TargetMode="External"/><Relationship Id="rId123" Type="http://schemas.openxmlformats.org/officeDocument/2006/relationships/hyperlink" Target="https://shop.teamsg.in/products/radix-2?_pos=1&amp;_psq=Elbow+Guard+SG+RADIX&amp;_ss=e&amp;_v=1.0" TargetMode="External"/><Relationship Id="rId128" Type="http://schemas.openxmlformats.org/officeDocument/2006/relationships/hyperlink" Target="https://shop.teamsg.in/products/aerotech-2-0?variant=46901753413920" TargetMode="External"/><Relationship Id="rId144" Type="http://schemas.openxmlformats.org/officeDocument/2006/relationships/hyperlink" Target="https://shop.teamsg.in/products/club-6?variant=46901780644128" TargetMode="External"/><Relationship Id="rId149" Type="http://schemas.openxmlformats.org/officeDocument/2006/relationships/hyperlink" Target="https://shop.teamsg.in/products/batting-legguards-sg-x-gt-1-0-copy-3?variant=49823839420704" TargetMode="External"/><Relationship Id="rId5" Type="http://schemas.openxmlformats.org/officeDocument/2006/relationships/hyperlink" Target="https://www.procricketshop.com/products/sg-tournament-abdominal-guard-boys?_pos=8&amp;_sid=b57cc813c&amp;_ss=r" TargetMode="External"/><Relationship Id="rId90" Type="http://schemas.openxmlformats.org/officeDocument/2006/relationships/hyperlink" Target="https://shop.teamsg.in/products/sg-sierra-2-0-cricket-sports-shoes?variant=46901887205664" TargetMode="External"/><Relationship Id="rId95" Type="http://schemas.openxmlformats.org/officeDocument/2006/relationships/hyperlink" Target="https://shop.teamsg.in/products/sg-savage-spikes-sports-shoes?variant=46901876752672" TargetMode="External"/><Relationship Id="rId160" Type="http://schemas.openxmlformats.org/officeDocument/2006/relationships/hyperlink" Target="https://bestcricketstore.com/product/sg-ultimate-combo-thig-guard-2022/" TargetMode="External"/><Relationship Id="rId165" Type="http://schemas.openxmlformats.org/officeDocument/2006/relationships/hyperlink" Target="https://www.procricketshop.com/products/sg-ace-protector-thigh-guard-black?_pos=2&amp;_sid=6f8344b06&amp;_ss=r" TargetMode="External"/><Relationship Id="rId181" Type="http://schemas.openxmlformats.org/officeDocument/2006/relationships/hyperlink" Target="https://shop.teamsg.in/products/club-4?variant=46901776449824" TargetMode="External"/><Relationship Id="rId22" Type="http://schemas.openxmlformats.org/officeDocument/2006/relationships/hyperlink" Target="https://shop.teamsg.in/products/sg-maxilite-ult-batting-gloves?variant=49886328488224" TargetMode="External"/><Relationship Id="rId27" Type="http://schemas.openxmlformats.org/officeDocument/2006/relationships/hyperlink" Target="https://shop.teamsg.in/products/sg-rp-club-batting-gloves?_pos=1&amp;_sid=f4088219d&amp;_ss=r&amp;variant=49888061292832" TargetMode="External"/><Relationship Id="rId43" Type="http://schemas.openxmlformats.org/officeDocument/2006/relationships/hyperlink" Target="https://shop.teamsg.in/products/supalite?variant=46901911683360" TargetMode="External"/><Relationship Id="rId48" Type="http://schemas.openxmlformats.org/officeDocument/2006/relationships/hyperlink" Target="https://shop.teamsg.in/products/sg-kashmir-willow-economy-kit?variant=46901812625696" TargetMode="External"/><Relationship Id="rId64" Type="http://schemas.openxmlformats.org/officeDocument/2006/relationships/hyperlink" Target="https://www.procricketshop.com/products/sg-club-white-ball?_pos=3&amp;_sid=05a09ed1d&amp;_ss=r" TargetMode="External"/><Relationship Id="rId69" Type="http://schemas.openxmlformats.org/officeDocument/2006/relationships/hyperlink" Target="https://shop.teamsg.in/products/super-cover?variant=46901915156768" TargetMode="External"/><Relationship Id="rId113" Type="http://schemas.openxmlformats.org/officeDocument/2006/relationships/hyperlink" Target="https://bestcricketstore.com/product/sg-fusion-cricket-shoes/" TargetMode="External"/><Relationship Id="rId118" Type="http://schemas.openxmlformats.org/officeDocument/2006/relationships/hyperlink" Target="https://shop.teamsg.in/products/super-test-3?variant=46901917614368" TargetMode="External"/><Relationship Id="rId134" Type="http://schemas.openxmlformats.org/officeDocument/2006/relationships/hyperlink" Target="https://shop.teamsg.in/products/aeroshield-2-0?variant=46901753020704" TargetMode="External"/><Relationship Id="rId139" Type="http://schemas.openxmlformats.org/officeDocument/2006/relationships/hyperlink" Target="https://shop.teamsg.in/products/club-6?variant=46901780545824" TargetMode="External"/><Relationship Id="rId80" Type="http://schemas.openxmlformats.org/officeDocument/2006/relationships/hyperlink" Target="https://shop.teamsg.in/products/boundary-xtreme?variant=46901757772064" TargetMode="External"/><Relationship Id="rId85" Type="http://schemas.openxmlformats.org/officeDocument/2006/relationships/hyperlink" Target="https://bestcricketstore.com/product/sg-ik-players-english-willow-cricket-bat/" TargetMode="External"/><Relationship Id="rId150" Type="http://schemas.openxmlformats.org/officeDocument/2006/relationships/hyperlink" Target="https://shop.teamsg.in/products/batting-legguards-sg-x-gt-1-0-copy-3?variant=49823839486240" TargetMode="External"/><Relationship Id="rId155" Type="http://schemas.openxmlformats.org/officeDocument/2006/relationships/hyperlink" Target="https://shop.teamsg.in/products/batting-legguards-sg-x-gt-1-0-copy-3?variant=49823843549472" TargetMode="External"/><Relationship Id="rId171" Type="http://schemas.openxmlformats.org/officeDocument/2006/relationships/hyperlink" Target="https://shop.teamsg.in/products/club-3?variant=46901780906272" TargetMode="External"/><Relationship Id="rId176" Type="http://schemas.openxmlformats.org/officeDocument/2006/relationships/hyperlink" Target="https://www.procricketshop.com/products/club-sg?_pos=8&amp;_sid=7bad728e1&amp;_ss=r" TargetMode="External"/><Relationship Id="rId12" Type="http://schemas.openxmlformats.org/officeDocument/2006/relationships/hyperlink" Target="https://shop.teamsg.in/products/umpire-counter?_pos=6&amp;_sid=c38db7aec&amp;_ss=r" TargetMode="External"/><Relationship Id="rId17" Type="http://schemas.openxmlformats.org/officeDocument/2006/relationships/hyperlink" Target="https://shop.teamsg.in/products/fielding-shin-guard?_pos=2&amp;_sid=53744d003&amp;_ss=r" TargetMode="External"/><Relationship Id="rId33" Type="http://schemas.openxmlformats.org/officeDocument/2006/relationships/hyperlink" Target="https://shop.teamsg.in/products/sg-rp-excelite-batting-gloves?variant=49888088260896" TargetMode="External"/><Relationship Id="rId38" Type="http://schemas.openxmlformats.org/officeDocument/2006/relationships/hyperlink" Target="https://shop.teamsg.in/products/sg-shield-batting-legguards?variant=49952112083232" TargetMode="External"/><Relationship Id="rId59" Type="http://schemas.openxmlformats.org/officeDocument/2006/relationships/hyperlink" Target="https://shop.teamsg.in/products/kit-bag-sg-22-yard-x2-trolley?_pos=1&amp;_sid=fa7d0da71&amp;_ss=r" TargetMode="External"/><Relationship Id="rId103" Type="http://schemas.openxmlformats.org/officeDocument/2006/relationships/hyperlink" Target="https://shop.teamsg.in/products/sg-century-6-0-sports-shoes-white-royal-blue-orange?variant=47200575717664" TargetMode="External"/><Relationship Id="rId108" Type="http://schemas.openxmlformats.org/officeDocument/2006/relationships/hyperlink" Target="https://bestcricketstore.com/product/sg-century-6-0-cricket-shoes/" TargetMode="External"/><Relationship Id="rId124" Type="http://schemas.openxmlformats.org/officeDocument/2006/relationships/hyperlink" Target="https://shop.teamsg.in/products/sg-test-elbow-guard-1?variant=47044107141408" TargetMode="External"/><Relationship Id="rId129" Type="http://schemas.openxmlformats.org/officeDocument/2006/relationships/hyperlink" Target="https://shop.teamsg.in/products/aerotech-2-0?variant=46901753381152" TargetMode="External"/><Relationship Id="rId54" Type="http://schemas.openxmlformats.org/officeDocument/2006/relationships/hyperlink" Target="https://shop.teamsg.in/products/kit-bag-sg-22-yard-duffle-1?_pos=1&amp;_sid=b005f7a64&amp;_ss=r" TargetMode="External"/><Relationship Id="rId70" Type="http://schemas.openxmlformats.org/officeDocument/2006/relationships/hyperlink" Target="https://shop.teamsg.in/products/cobra-xtreme?_pos=1&amp;_psq=Cricket+Bat+SG+COBRA+XTREME&amp;_ss=e&amp;_v=1.0" TargetMode="External"/><Relationship Id="rId75" Type="http://schemas.openxmlformats.org/officeDocument/2006/relationships/hyperlink" Target="https://shop.teamsg.in/products/sizechart-shoe-2?variant=46901783462176" TargetMode="External"/><Relationship Id="rId91" Type="http://schemas.openxmlformats.org/officeDocument/2006/relationships/hyperlink" Target="https://shop.teamsg.in/products/sg-sierra-2-0-cricket-sports-shoes?variant=46901887172896" TargetMode="External"/><Relationship Id="rId96" Type="http://schemas.openxmlformats.org/officeDocument/2006/relationships/hyperlink" Target="https://shop.teamsg.in/products/sg-century-6-0-sports-shoes-white-royal-blue-orange?_pos=1&amp;_sid=fe792f786&amp;_ss=r&amp;variant=47200575815968" TargetMode="External"/><Relationship Id="rId140" Type="http://schemas.openxmlformats.org/officeDocument/2006/relationships/hyperlink" Target="https://www.procricketshop.com/products/sg-club-inner-gloves-for-wicket-keeping-and-batting?_pos=1&amp;_sid=645b756b2&amp;_ss=r" TargetMode="External"/><Relationship Id="rId145" Type="http://schemas.openxmlformats.org/officeDocument/2006/relationships/hyperlink" Target="https://shop.teamsg.in/products/proflex-2?_pos=1&amp;_sid=49e31c1b8&amp;_ss=r&amp;variant=46901849784608" TargetMode="External"/><Relationship Id="rId161" Type="http://schemas.openxmlformats.org/officeDocument/2006/relationships/hyperlink" Target="https://www.procricketshop.com/products/sg-ultimate-combo-thigh-guard?variant=40742785515697" TargetMode="External"/><Relationship Id="rId166" Type="http://schemas.openxmlformats.org/officeDocument/2006/relationships/hyperlink" Target="https://shop.teamsg.in/products/league-3?variant=46901825437984" TargetMode="External"/><Relationship Id="rId182" Type="http://schemas.openxmlformats.org/officeDocument/2006/relationships/hyperlink" Target="https://shop.teamsg.in/products/club-4?_pos=1&amp;_sid=159cafac2&amp;_ss=r" TargetMode="External"/><Relationship Id="rId1" Type="http://schemas.openxmlformats.org/officeDocument/2006/relationships/hyperlink" Target="https://shop.teamsg.in/" TargetMode="External"/><Relationship Id="rId6" Type="http://schemas.openxmlformats.org/officeDocument/2006/relationships/hyperlink" Target="https://shop.teamsg.in/products/sg-tournament-abdominal-pad?_pos=1&amp;_sid=d65d1e4cb&amp;_ss=r&amp;variant=49886054547744" TargetMode="External"/><Relationship Id="rId23" Type="http://schemas.openxmlformats.org/officeDocument/2006/relationships/hyperlink" Target="https://shop.teamsg.in/products/sg-savage-lite-batting-gloves-1?variant=49952012894496" TargetMode="External"/><Relationship Id="rId28" Type="http://schemas.openxmlformats.org/officeDocument/2006/relationships/hyperlink" Target="https://www.procricketshop.com/products/sg-club-batting-gloves?_pos=9&amp;_sid=7ad520612&amp;_ss=r" TargetMode="External"/><Relationship Id="rId49" Type="http://schemas.openxmlformats.org/officeDocument/2006/relationships/hyperlink" Target="https://shop.teamsg.in/products/sg-kashmir-willow-economy-kit?variant=46901812658464" TargetMode="External"/><Relationship Id="rId114" Type="http://schemas.openxmlformats.org/officeDocument/2006/relationships/hyperlink" Target="https://shop.teamsg.in/products/sg-fusion-shoe-teal-white-no-6?variant=47563468177696" TargetMode="External"/><Relationship Id="rId119" Type="http://schemas.openxmlformats.org/officeDocument/2006/relationships/hyperlink" Target="https://bestcricketstore.com/product/sg-super-test-elbow-guard/" TargetMode="External"/><Relationship Id="rId44" Type="http://schemas.openxmlformats.org/officeDocument/2006/relationships/hyperlink" Target="https://shop.teamsg.in/products/supalite?variant=46901911650592" TargetMode="External"/><Relationship Id="rId60" Type="http://schemas.openxmlformats.org/officeDocument/2006/relationships/hyperlink" Target="https://bestcricketstore.com/product/sg-22-yard-x2-trolley-kit-bag/" TargetMode="External"/><Relationship Id="rId65" Type="http://schemas.openxmlformats.org/officeDocument/2006/relationships/hyperlink" Target="https://shop.teamsg.in/products/sg-shield-20-white-high-quality-two-piece-leather-cricket-ball-made-from-high-quality-alum-tanned-leather?_pos=1&amp;_sid=95befa81b&amp;_ss=r" TargetMode="External"/><Relationship Id="rId81" Type="http://schemas.openxmlformats.org/officeDocument/2006/relationships/hyperlink" Target="https://shop.teamsg.in/products/sg-t-1400-kashmir-willow-scoop-bat-for-tennis-cricket-ball?_pos=1&amp;_sid=5abb1a17c&amp;_ss=r" TargetMode="External"/><Relationship Id="rId86" Type="http://schemas.openxmlformats.org/officeDocument/2006/relationships/hyperlink" Target="https://shop.teamsg.in/products/sg-sierra-2-0-cricket-sports-shoes?_pos=3&amp;_sid=babd64095&amp;_ss=r&amp;variant=46901887140128" TargetMode="External"/><Relationship Id="rId130" Type="http://schemas.openxmlformats.org/officeDocument/2006/relationships/hyperlink" Target="https://shop.teamsg.in/products/aeroshield-2-0?variant=46901753151776" TargetMode="External"/><Relationship Id="rId135" Type="http://schemas.openxmlformats.org/officeDocument/2006/relationships/hyperlink" Target="https://shop.teamsg.in/products/test-6?_pos=1&amp;_sid=1971b6d95&amp;_ss=r" TargetMode="External"/><Relationship Id="rId151" Type="http://schemas.openxmlformats.org/officeDocument/2006/relationships/hyperlink" Target="https://shop.teamsg.in/products/radix-3?_pos=1&amp;_sid=ded203919&amp;_ss=r" TargetMode="External"/><Relationship Id="rId156" Type="http://schemas.openxmlformats.org/officeDocument/2006/relationships/hyperlink" Target="https://shop.teamsg.in/products/combo-ultimate?variant=46901787033888" TargetMode="External"/><Relationship Id="rId177" Type="http://schemas.openxmlformats.org/officeDocument/2006/relationships/hyperlink" Target="https://shop.teamsg.in/products/super-test?variant=46901919416608" TargetMode="External"/><Relationship Id="rId4" Type="http://schemas.openxmlformats.org/officeDocument/2006/relationships/hyperlink" Target="https://shop.teamsg.in/products/sg-tournament-abdominal-pad?variant=49886054514976" TargetMode="External"/><Relationship Id="rId9" Type="http://schemas.openxmlformats.org/officeDocument/2006/relationships/hyperlink" Target="https://www.procricketshop.com/products/sg-ibat-batting-practice-bat?_pos=1&amp;_sid=1318dd206&amp;_ss=r" TargetMode="External"/><Relationship Id="rId172" Type="http://schemas.openxmlformats.org/officeDocument/2006/relationships/hyperlink" Target="https://shop.teamsg.in/products/club-3?_pos=1&amp;_sid=ea3a7d3d4&amp;_ss=r&amp;variant=46901780873504" TargetMode="External"/><Relationship Id="rId180" Type="http://schemas.openxmlformats.org/officeDocument/2006/relationships/hyperlink" Target="https://shop.teamsg.in/products/campus-2?variant=46901759410464" TargetMode="External"/><Relationship Id="rId13" Type="http://schemas.openxmlformats.org/officeDocument/2006/relationships/hyperlink" Target="https://shop.teamsg.in/products/mini-bat?_pos=1&amp;_sid=723de1741&amp;_ss=r" TargetMode="External"/><Relationship Id="rId18" Type="http://schemas.openxmlformats.org/officeDocument/2006/relationships/hyperlink" Target="https://shop.teamsg.in/products/catch-bat?_pos=1&amp;_sid=50b2bffbe&amp;_ss=r" TargetMode="External"/><Relationship Id="rId39" Type="http://schemas.openxmlformats.org/officeDocument/2006/relationships/hyperlink" Target="https://shop.teamsg.in/products/sg-shield-batting-legguards?variant=49993877684512" TargetMode="External"/><Relationship Id="rId109" Type="http://schemas.openxmlformats.org/officeDocument/2006/relationships/hyperlink" Target="https://shop.teamsg.in/products/sg-fusion-shoe-teal-white-no-6?variant=47563468013856" TargetMode="External"/><Relationship Id="rId34" Type="http://schemas.openxmlformats.org/officeDocument/2006/relationships/hyperlink" Target="https://shop.teamsg.in/products/players-xtreme?_pos=1&amp;_sid=386c657d1&amp;_ss=r&amp;variant=46901749547296" TargetMode="External"/><Relationship Id="rId50" Type="http://schemas.openxmlformats.org/officeDocument/2006/relationships/hyperlink" Target="https://bestcricketstore.com/product/sg-youth-premium-cricket-kit/" TargetMode="External"/><Relationship Id="rId55" Type="http://schemas.openxmlformats.org/officeDocument/2006/relationships/hyperlink" Target="https://bestcricketstore.com/product/sg-22-yard-duffel-bag/" TargetMode="External"/><Relationship Id="rId76" Type="http://schemas.openxmlformats.org/officeDocument/2006/relationships/hyperlink" Target="https://shop.teamsg.in/products/sizechart-shoe-2?_pos=2&amp;_sid=751bbb960&amp;_ss=r" TargetMode="External"/><Relationship Id="rId97" Type="http://schemas.openxmlformats.org/officeDocument/2006/relationships/hyperlink" Target="https://bestcricketstore.com/product/sg-century-6-0-cricket-shoes/" TargetMode="External"/><Relationship Id="rId104" Type="http://schemas.openxmlformats.org/officeDocument/2006/relationships/hyperlink" Target="https://bestcricketstore.com/product/sg-century-6-0-cricket-shoes/" TargetMode="External"/><Relationship Id="rId120" Type="http://schemas.openxmlformats.org/officeDocument/2006/relationships/hyperlink" Target="https://shop.teamsg.in/products/sg-test-elbow-guard-1?variant=47044107174176" TargetMode="External"/><Relationship Id="rId125" Type="http://schemas.openxmlformats.org/officeDocument/2006/relationships/hyperlink" Target="https://www.procricketshop.com/products/sg-test-elbow-guards?_pos=4&amp;_sid=336596d1b&amp;_ss=r" TargetMode="External"/><Relationship Id="rId141" Type="http://schemas.openxmlformats.org/officeDocument/2006/relationships/hyperlink" Target="https://shop.teamsg.in/products/club-6?variant=46901780611360" TargetMode="External"/><Relationship Id="rId146" Type="http://schemas.openxmlformats.org/officeDocument/2006/relationships/hyperlink" Target="https://www.procricketshop.com/products/sg-proflex-cricket-wicket-keeping-legguards?_pos=1&amp;_sid=650fb9183&amp;_ss=r" TargetMode="External"/><Relationship Id="rId167" Type="http://schemas.openxmlformats.org/officeDocument/2006/relationships/hyperlink" Target="https://bestcricketstore.com/product/sg-league-batting-gloves-2024/" TargetMode="External"/><Relationship Id="rId7" Type="http://schemas.openxmlformats.org/officeDocument/2006/relationships/hyperlink" Target="https://shop.teamsg.in/products/sg-litevate-abdominal-pad?_pos=1&amp;_psq=Abdominal+Pad+SG+LITEVATE&amp;_ss=e&amp;_v=1.0" TargetMode="External"/><Relationship Id="rId71" Type="http://schemas.openxmlformats.org/officeDocument/2006/relationships/hyperlink" Target="https://shop.teamsg.in/products/sg-rsd-xtreme-traditionally-shaped-english-willow-grade-6-cricket-bat-leather-ball?variant=46901871345952" TargetMode="External"/><Relationship Id="rId92" Type="http://schemas.openxmlformats.org/officeDocument/2006/relationships/hyperlink" Target="https://shop.teamsg.in/products/sg-savage-spikes-sports-shoes?variant=46901876654368" TargetMode="External"/><Relationship Id="rId162" Type="http://schemas.openxmlformats.org/officeDocument/2006/relationships/hyperlink" Target="https://shop.teamsg.in/products/sg-combo-players-cricket-batting-thigh-pad?variant=46901786149152" TargetMode="External"/><Relationship Id="rId183" Type="http://schemas.openxmlformats.org/officeDocument/2006/relationships/hyperlink" Target="https://shop.teamsg.in/products/nylite?_pos=1&amp;_sid=a8174d2ba&amp;_ss=r" TargetMode="External"/><Relationship Id="rId2" Type="http://schemas.openxmlformats.org/officeDocument/2006/relationships/hyperlink" Target="https://bestcricketstore.com/" TargetMode="External"/><Relationship Id="rId29" Type="http://schemas.openxmlformats.org/officeDocument/2006/relationships/hyperlink" Target="https://shop.teamsg.in/products/sg-rp-excelite-batting-gloves?variant=49888082264352" TargetMode="External"/><Relationship Id="rId24" Type="http://schemas.openxmlformats.org/officeDocument/2006/relationships/hyperlink" Target="https://www.procricketshop.com/products/sg-savage-lite-batting-gloves?variant=37908109426865" TargetMode="External"/><Relationship Id="rId40" Type="http://schemas.openxmlformats.org/officeDocument/2006/relationships/hyperlink" Target="https://shop.teamsg.in/products/super-club?variant=46901912764704" TargetMode="External"/><Relationship Id="rId45" Type="http://schemas.openxmlformats.org/officeDocument/2006/relationships/hyperlink" Target="https://shop.teamsg.in/products/supalite?_pos=1&amp;_sid=c5cccb1dd&amp;_ss=r" TargetMode="External"/><Relationship Id="rId66" Type="http://schemas.openxmlformats.org/officeDocument/2006/relationships/hyperlink" Target="https://shop.teamsg.in/products/super-cover?_pos=1&amp;_psq=Cricket+Bat+SG+SUPER+COVER+No+4&amp;_ss=e&amp;_v=1.0&amp;variant=46901915189536" TargetMode="External"/><Relationship Id="rId87" Type="http://schemas.openxmlformats.org/officeDocument/2006/relationships/hyperlink" Target="https://shop.teamsg.in/products/sg-sierra-2-0-cricket-sports-shoes?variant=46901887238432" TargetMode="External"/><Relationship Id="rId110" Type="http://schemas.openxmlformats.org/officeDocument/2006/relationships/hyperlink" Target="https://shop.teamsg.in/products/sg-fusion-shoe-teal-white-no-6?variant=47563468046624" TargetMode="External"/><Relationship Id="rId115" Type="http://schemas.openxmlformats.org/officeDocument/2006/relationships/hyperlink" Target="https://bestcricketstore.com/product/sg-fusion-cricket-shoes/" TargetMode="External"/><Relationship Id="rId131" Type="http://schemas.openxmlformats.org/officeDocument/2006/relationships/hyperlink" Target="https://shop.teamsg.in/products/aeroshield-2-0?variant=46901753119008" TargetMode="External"/><Relationship Id="rId136" Type="http://schemas.openxmlformats.org/officeDocument/2006/relationships/hyperlink" Target="https://bestcricketstore.com/product/sg-test-ro-batting-gloves/" TargetMode="External"/><Relationship Id="rId157" Type="http://schemas.openxmlformats.org/officeDocument/2006/relationships/hyperlink" Target="https://bestcricketstore.com/product/sg-ultimate-combo-thig-guard-2022/" TargetMode="External"/><Relationship Id="rId178" Type="http://schemas.openxmlformats.org/officeDocument/2006/relationships/hyperlink" Target="https://bestcricketstore.com/product/sg-super-test-elbow-guard/" TargetMode="External"/><Relationship Id="rId61" Type="http://schemas.openxmlformats.org/officeDocument/2006/relationships/hyperlink" Target="https://shop.teamsg.in/products/kit-bag-sg-22-yard-x3-wheelie?_pos=1&amp;_sid=28bea84cf&amp;_ss=r" TargetMode="External"/><Relationship Id="rId82" Type="http://schemas.openxmlformats.org/officeDocument/2006/relationships/hyperlink" Target="https://shop.teamsg.in/products/sg-kashmir-willow-cricket-bat-tennis-ball-t-1600?_pos=1&amp;_sid=a2c5740ce&amp;_ss=r" TargetMode="External"/><Relationship Id="rId152" Type="http://schemas.openxmlformats.org/officeDocument/2006/relationships/hyperlink" Target="https://shop.teamsg.in/products/sg-litevate-cricket-thigh-pad?_pos=1&amp;_sid=7b99761f6&amp;_ss=r&amp;variant=46901829566752" TargetMode="External"/><Relationship Id="rId173" Type="http://schemas.openxmlformats.org/officeDocument/2006/relationships/hyperlink" Target="https://shop.teamsg.in/products/club-3?variant=46901780840736" TargetMode="External"/><Relationship Id="rId19" Type="http://schemas.openxmlformats.org/officeDocument/2006/relationships/hyperlink" Target="https://shop.teamsg.in/products/sg-player-grip-multi-color-pack-of-3?_pos=3&amp;_sid=15b13390c&amp;_ss=r" TargetMode="External"/><Relationship Id="rId14" Type="http://schemas.openxmlformats.org/officeDocument/2006/relationships/hyperlink" Target="https://bestcricketstore.com/product/best-cricket-store-mini-autograph-bat/" TargetMode="External"/><Relationship Id="rId30" Type="http://schemas.openxmlformats.org/officeDocument/2006/relationships/hyperlink" Target="https://bestcricketstore.com/product/sg-excelite-batting-gloves-2024/" TargetMode="External"/><Relationship Id="rId35" Type="http://schemas.openxmlformats.org/officeDocument/2006/relationships/hyperlink" Target="https://www.procricketshop.com/products/sg-players-xtreme-batting-pads-men?_pos=1&amp;_sid=c888e15fc&amp;_ss=r" TargetMode="External"/><Relationship Id="rId56" Type="http://schemas.openxmlformats.org/officeDocument/2006/relationships/hyperlink" Target="https://shop.teamsg.in/products/kit-bag-sg-22-yard-x1-duffle-wheelie?_pos=1&amp;_sid=6e19f4794&amp;_ss=r" TargetMode="External"/><Relationship Id="rId77" Type="http://schemas.openxmlformats.org/officeDocument/2006/relationships/hyperlink" Target="https://shop.teamsg.in/products/boundary-xtreme?variant=46901757870368" TargetMode="External"/><Relationship Id="rId100" Type="http://schemas.openxmlformats.org/officeDocument/2006/relationships/hyperlink" Target="https://shop.teamsg.in/products/sg-century-6-0-sports-shoes-white-royal-blue-orange?variant=47200575619360" TargetMode="External"/><Relationship Id="rId105" Type="http://schemas.openxmlformats.org/officeDocument/2006/relationships/hyperlink" Target="https://shop.teamsg.in/products/sg-century-6-0-sports-shoes-white-royal-blue-orange?variant=47200575750432" TargetMode="External"/><Relationship Id="rId126" Type="http://schemas.openxmlformats.org/officeDocument/2006/relationships/hyperlink" Target="https://shop.teamsg.in/products/aerotech-2-0?variant=46901753479456" TargetMode="External"/><Relationship Id="rId147" Type="http://schemas.openxmlformats.org/officeDocument/2006/relationships/hyperlink" Target="https://bestcricketstore.com/product/sg-proflex-keeping-pads-2022/" TargetMode="External"/><Relationship Id="rId168" Type="http://schemas.openxmlformats.org/officeDocument/2006/relationships/hyperlink" Target="https://shop.teamsg.in/products/super-club-2?variant=46901913747744" TargetMode="External"/><Relationship Id="rId8" Type="http://schemas.openxmlformats.org/officeDocument/2006/relationships/hyperlink" Target="https://shop.teamsg.in/products/ibat?_pos=1&amp;_sid=8ec424ab5&amp;_ss=r" TargetMode="External"/><Relationship Id="rId51" Type="http://schemas.openxmlformats.org/officeDocument/2006/relationships/hyperlink" Target="https://www.procricketshop.com/products/sg-rp-premium-cricket-kit-bag?_pos=1&amp;_sid=c6c1727a1&amp;_ss=r" TargetMode="External"/><Relationship Id="rId72" Type="http://schemas.openxmlformats.org/officeDocument/2006/relationships/hyperlink" Target="https://shop.teamsg.in/products/sg-rsd-xtreme-traditionally-shaped-english-willow-grade-6-cricket-bat-leather-ball?variant=46901871313184" TargetMode="External"/><Relationship Id="rId93" Type="http://schemas.openxmlformats.org/officeDocument/2006/relationships/hyperlink" Target="https://shop.teamsg.in/products/sg-savage-spikes-sports-shoes?variant=46901876687136" TargetMode="External"/><Relationship Id="rId98" Type="http://schemas.openxmlformats.org/officeDocument/2006/relationships/hyperlink" Target="https://shop.teamsg.in/products/sg-century-6-0-sports-shoes-white-royal-blue-orange?variant=47200575848736" TargetMode="External"/><Relationship Id="rId121" Type="http://schemas.openxmlformats.org/officeDocument/2006/relationships/hyperlink" Target="https://www.procricketshop.com/products/sg-super-test-cricket-batting-elbow-guard-mens?_pos=1&amp;_sid=6e67a1d43&amp;_ss=r" TargetMode="External"/><Relationship Id="rId142" Type="http://schemas.openxmlformats.org/officeDocument/2006/relationships/hyperlink" Target="https://www.procricketshop.com/products/sg-club-inner-gloves-for-wicket-keeping-and-batting?_pos=1&amp;_sid=645b756b2&amp;_ss=r" TargetMode="External"/><Relationship Id="rId163" Type="http://schemas.openxmlformats.org/officeDocument/2006/relationships/hyperlink" Target="https://shop.teamsg.in/products/sg-combo-players-cricket-batting-thigh-pad?variant=46901786083616" TargetMode="External"/><Relationship Id="rId184" Type="http://schemas.openxmlformats.org/officeDocument/2006/relationships/hyperlink" Target="https://www.procricketshop.com/products/sg-nylite-cricket-wk-leg-guards?_pos=2&amp;_sid=21e2f1956&amp;_ss=r" TargetMode="External"/><Relationship Id="rId3" Type="http://schemas.openxmlformats.org/officeDocument/2006/relationships/hyperlink" Target="https://www.criclanes.com/" TargetMode="External"/><Relationship Id="rId25" Type="http://schemas.openxmlformats.org/officeDocument/2006/relationships/hyperlink" Target="https://shop.teamsg.in/products/sg-savage-lite-batting-gloves-1?variant=49952012960032" TargetMode="External"/><Relationship Id="rId46" Type="http://schemas.openxmlformats.org/officeDocument/2006/relationships/hyperlink" Target="https://shop.teamsg.in/products/sg-kashmir-willow-economy-kit?_pos=2&amp;_sid=bb6206cd6&amp;_ss=r&amp;variant=46901812691232" TargetMode="External"/><Relationship Id="rId67" Type="http://schemas.openxmlformats.org/officeDocument/2006/relationships/hyperlink" Target="https://shop.teamsg.in/products/super-cover?variant=46901915255072" TargetMode="External"/><Relationship Id="rId116" Type="http://schemas.openxmlformats.org/officeDocument/2006/relationships/hyperlink" Target="https://bestcricketstore.com/product/sg-ultimate-combo-thig-guard-2022/" TargetMode="External"/><Relationship Id="rId137" Type="http://schemas.openxmlformats.org/officeDocument/2006/relationships/hyperlink" Target="https://shop.teamsg.in/products/club-6?_pos=1&amp;_psq=Inner+Gloves+SG+CLUB&amp;_ss=e&amp;_v=1.0" TargetMode="External"/><Relationship Id="rId158" Type="http://schemas.openxmlformats.org/officeDocument/2006/relationships/hyperlink" Target="https://www.procricketshop.com/products/sg-ultimate-combo-thigh-guard?variant=40742785515697" TargetMode="External"/><Relationship Id="rId20" Type="http://schemas.openxmlformats.org/officeDocument/2006/relationships/hyperlink" Target="https://shop.teamsg.in/products/sg-player-grip-multi-color-pack-of-1?_pos=1&amp;_sid=28cb96b26&amp;_ss=r" TargetMode="External"/><Relationship Id="rId41" Type="http://schemas.openxmlformats.org/officeDocument/2006/relationships/hyperlink" Target="https://shop.teamsg.in/products/super-club?variant=46901912731936" TargetMode="External"/><Relationship Id="rId62" Type="http://schemas.openxmlformats.org/officeDocument/2006/relationships/hyperlink" Target="https://shop.teamsg.in/products/sg-extremepak-2-0-plus-trolly-kit-bag?_pos=1&amp;_sid=e25c24b5f&amp;_ss=r" TargetMode="External"/><Relationship Id="rId83" Type="http://schemas.openxmlformats.org/officeDocument/2006/relationships/hyperlink" Target="https://bestcricketstore.com/product/sg-ik-players-english-willow-cricket-bat/" TargetMode="External"/><Relationship Id="rId88" Type="http://schemas.openxmlformats.org/officeDocument/2006/relationships/hyperlink" Target="https://shop.teamsg.in/products/sg-sierra-2-0-cricket-sports-shoes?variant=46901887271200" TargetMode="External"/><Relationship Id="rId111" Type="http://schemas.openxmlformats.org/officeDocument/2006/relationships/hyperlink" Target="https://bestcricketstore.com/product/sg-fusion-cricket-shoes/" TargetMode="External"/><Relationship Id="rId132" Type="http://schemas.openxmlformats.org/officeDocument/2006/relationships/hyperlink" Target="https://shop.teamsg.in/products/aeroshield-2-0?variant=46901753086240" TargetMode="External"/><Relationship Id="rId153" Type="http://schemas.openxmlformats.org/officeDocument/2006/relationships/hyperlink" Target="https://shop.teamsg.in/products/pro-2?variant=46901847327008" TargetMode="External"/><Relationship Id="rId174" Type="http://schemas.openxmlformats.org/officeDocument/2006/relationships/hyperlink" Target="https://shop.teamsg.in/products/rsd-xtreme-2?variant=46901870690592" TargetMode="External"/><Relationship Id="rId179" Type="http://schemas.openxmlformats.org/officeDocument/2006/relationships/hyperlink" Target="https://www.procricketshop.com/products/sg-super-test-cricket-batting-elbow-guard-mens?_pos=4&amp;_sid=4f0175e26&amp;_ss=r" TargetMode="External"/><Relationship Id="rId15" Type="http://schemas.openxmlformats.org/officeDocument/2006/relationships/hyperlink" Target="https://shop.teamsg.in/products/cricket-grip-sg-chevtech-3-pcs?_pos=1&amp;_psq=Cricket+Grip+SG+CHEVTECH+%283+Pcs%29&amp;_ss=e&amp;_v=1.0" TargetMode="External"/><Relationship Id="rId36" Type="http://schemas.openxmlformats.org/officeDocument/2006/relationships/hyperlink" Target="https://shop.teamsg.in/products/sg-klr-lite-2-0-batting-legguards?_pos=1&amp;_sid=2c284af2e&amp;_ss=r&amp;variant=49888183943456" TargetMode="External"/><Relationship Id="rId57" Type="http://schemas.openxmlformats.org/officeDocument/2006/relationships/hyperlink" Target="https://bestcricketstore.com/product/sg-22-yard-x1-duffel-wheelie-bag/" TargetMode="External"/><Relationship Id="rId106" Type="http://schemas.openxmlformats.org/officeDocument/2006/relationships/hyperlink" Target="https://bestcricketstore.com/product/sg-century-6-0-cricket-shoes/" TargetMode="External"/><Relationship Id="rId127" Type="http://schemas.openxmlformats.org/officeDocument/2006/relationships/hyperlink" Target="https://shop.teamsg.in/products/aerotech-2-0?variant=46901753446688" TargetMode="External"/><Relationship Id="rId10" Type="http://schemas.openxmlformats.org/officeDocument/2006/relationships/hyperlink" Target="https://shop.teamsg.in/products/iball-ball-with-cord?_pos=1&amp;_sid=8a4a27d97&amp;_ss=r" TargetMode="External"/><Relationship Id="rId31" Type="http://schemas.openxmlformats.org/officeDocument/2006/relationships/hyperlink" Target="https://shop.teamsg.in/products/sg-rp-club-batting-gloves?variant=49888061161760" TargetMode="External"/><Relationship Id="rId52" Type="http://schemas.openxmlformats.org/officeDocument/2006/relationships/hyperlink" Target="https://bestcricketstore.com/product/sg-youth-premium-cricket-kit/" TargetMode="External"/><Relationship Id="rId73" Type="http://schemas.openxmlformats.org/officeDocument/2006/relationships/hyperlink" Target="https://shop.teamsg.in/products/sg-rsd-xtreme-traditionally-shaped-english-willow-grade-6-cricket-bat-leather-ball?variant=46901871280416" TargetMode="External"/><Relationship Id="rId78" Type="http://schemas.openxmlformats.org/officeDocument/2006/relationships/hyperlink" Target="https://shop.teamsg.in/products/boundary-xtreme?variant=46901757837600" TargetMode="External"/><Relationship Id="rId94" Type="http://schemas.openxmlformats.org/officeDocument/2006/relationships/hyperlink" Target="https://shop.teamsg.in/products/sg-savage-spikes-sports-shoes?variant=46901876719904" TargetMode="External"/><Relationship Id="rId99" Type="http://schemas.openxmlformats.org/officeDocument/2006/relationships/hyperlink" Target="https://bestcricketstore.com/product/sg-century-6-0-cricket-shoes/" TargetMode="External"/><Relationship Id="rId101" Type="http://schemas.openxmlformats.org/officeDocument/2006/relationships/hyperlink" Target="https://shop.teamsg.in/products/sg-century-6-0-sports-shoes-white-royal-blue-orange?variant=47200575652128" TargetMode="External"/><Relationship Id="rId122" Type="http://schemas.openxmlformats.org/officeDocument/2006/relationships/hyperlink" Target="https://shop.teamsg.in/products/sg-test-elbow-guard-1?variant=47044107108640" TargetMode="External"/><Relationship Id="rId143" Type="http://schemas.openxmlformats.org/officeDocument/2006/relationships/hyperlink" Target="https://shop.teamsg.in/products/league-6?_pos=1&amp;_sid=7ef41f464&amp;_ss=r" TargetMode="External"/><Relationship Id="rId148" Type="http://schemas.openxmlformats.org/officeDocument/2006/relationships/hyperlink" Target="https://shop.teamsg.in/products/radix?_pos=1&amp;_sid=b9fad1041&amp;_ss=r&amp;variant=46901855715616" TargetMode="External"/><Relationship Id="rId164" Type="http://schemas.openxmlformats.org/officeDocument/2006/relationships/hyperlink" Target="https://shop.teamsg.in/products/sg-combo-ace-protector-cricket-batting-thigh-pad-white?variant=46901785723168" TargetMode="External"/><Relationship Id="rId169" Type="http://schemas.openxmlformats.org/officeDocument/2006/relationships/hyperlink" Target="https://www.procricketshop.com/products/sg-super-club?_pos=1&amp;_sid=a8a0c9fa1&amp;_ss=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99"/>
  <sheetViews>
    <sheetView workbookViewId="0">
      <pane xSplit="3" topLeftCell="D1" activePane="topRight" state="frozen"/>
      <selection pane="topRight" activeCell="B2" sqref="B2"/>
    </sheetView>
  </sheetViews>
  <sheetFormatPr defaultColWidth="14.44140625" defaultRowHeight="15" customHeight="1"/>
  <cols>
    <col min="1" max="1" width="15.44140625" customWidth="1"/>
    <col min="2" max="2" width="45.109375" customWidth="1"/>
    <col min="3" max="3" width="23.6640625" bestFit="1" customWidth="1"/>
  </cols>
  <sheetData>
    <row r="1" spans="1:3" ht="22.5" customHeight="1">
      <c r="A1" s="1" t="s">
        <v>3</v>
      </c>
      <c r="B1" s="1" t="s">
        <v>792</v>
      </c>
      <c r="C1" s="2" t="s">
        <v>5</v>
      </c>
    </row>
    <row r="2" spans="1:3" ht="13.5" customHeight="1">
      <c r="A2" s="3" t="s">
        <v>21</v>
      </c>
      <c r="B2" s="3" t="s">
        <v>22</v>
      </c>
      <c r="C2" s="4" t="s">
        <v>23</v>
      </c>
    </row>
    <row r="3" spans="1:3" ht="13.5" customHeight="1">
      <c r="A3" s="7" t="s">
        <v>34</v>
      </c>
      <c r="B3" s="7" t="s">
        <v>35</v>
      </c>
      <c r="C3" s="4" t="s">
        <v>23</v>
      </c>
    </row>
    <row r="4" spans="1:3" ht="13.5" customHeight="1">
      <c r="A4" s="7" t="s">
        <v>38</v>
      </c>
      <c r="B4" s="7" t="s">
        <v>39</v>
      </c>
      <c r="C4" s="4" t="s">
        <v>23</v>
      </c>
    </row>
    <row r="5" spans="1:3" ht="13.5" customHeight="1">
      <c r="A5" s="7" t="s">
        <v>46</v>
      </c>
      <c r="B5" s="7" t="s">
        <v>47</v>
      </c>
      <c r="C5" s="4" t="s">
        <v>48</v>
      </c>
    </row>
    <row r="6" spans="1:3" ht="13.5" customHeight="1">
      <c r="A6" s="7" t="s">
        <v>54</v>
      </c>
      <c r="B6" s="7" t="s">
        <v>55</v>
      </c>
      <c r="C6" s="4" t="s">
        <v>56</v>
      </c>
    </row>
    <row r="7" spans="1:3" ht="13.5" customHeight="1">
      <c r="A7" s="7" t="s">
        <v>61</v>
      </c>
      <c r="B7" s="7" t="s">
        <v>62</v>
      </c>
      <c r="C7" s="4" t="s">
        <v>63</v>
      </c>
    </row>
    <row r="8" spans="1:3" ht="13.5" customHeight="1">
      <c r="A8" s="7" t="s">
        <v>65</v>
      </c>
      <c r="B8" s="7" t="s">
        <v>66</v>
      </c>
      <c r="C8" s="4" t="s">
        <v>67</v>
      </c>
    </row>
    <row r="9" spans="1:3" ht="13.5" customHeight="1">
      <c r="A9" s="7" t="s">
        <v>71</v>
      </c>
      <c r="B9" s="7" t="s">
        <v>72</v>
      </c>
      <c r="C9" s="8" t="s">
        <v>73</v>
      </c>
    </row>
    <row r="10" spans="1:3" ht="13.5" customHeight="1">
      <c r="A10" s="7" t="s">
        <v>78</v>
      </c>
      <c r="B10" s="7" t="s">
        <v>79</v>
      </c>
      <c r="C10" s="4" t="s">
        <v>73</v>
      </c>
    </row>
    <row r="11" spans="1:3" ht="13.5" customHeight="1">
      <c r="A11" s="7" t="s">
        <v>81</v>
      </c>
      <c r="B11" s="7" t="s">
        <v>82</v>
      </c>
      <c r="C11" s="4" t="s">
        <v>83</v>
      </c>
    </row>
    <row r="12" spans="1:3" ht="13.5" customHeight="1">
      <c r="A12" s="7" t="s">
        <v>86</v>
      </c>
      <c r="B12" s="7" t="s">
        <v>87</v>
      </c>
      <c r="C12" s="4" t="s">
        <v>88</v>
      </c>
    </row>
    <row r="13" spans="1:3" ht="13.5" customHeight="1">
      <c r="A13" s="7" t="s">
        <v>91</v>
      </c>
      <c r="B13" s="7" t="s">
        <v>92</v>
      </c>
      <c r="C13" s="4" t="s">
        <v>73</v>
      </c>
    </row>
    <row r="14" spans="1:3" ht="13.5" customHeight="1">
      <c r="A14" s="7" t="s">
        <v>95</v>
      </c>
      <c r="B14" s="7" t="s">
        <v>96</v>
      </c>
      <c r="C14" s="4" t="s">
        <v>73</v>
      </c>
    </row>
    <row r="15" spans="1:3" ht="13.5" customHeight="1">
      <c r="A15" s="7" t="s">
        <v>98</v>
      </c>
      <c r="B15" s="7" t="s">
        <v>99</v>
      </c>
      <c r="C15" s="4" t="s">
        <v>100</v>
      </c>
    </row>
    <row r="16" spans="1:3" ht="13.5" customHeight="1">
      <c r="A16" s="7" t="s">
        <v>106</v>
      </c>
      <c r="B16" s="7" t="s">
        <v>107</v>
      </c>
      <c r="C16" s="4" t="s">
        <v>100</v>
      </c>
    </row>
    <row r="17" spans="1:3" ht="13.5" customHeight="1">
      <c r="A17" s="7" t="s">
        <v>110</v>
      </c>
      <c r="B17" s="7" t="s">
        <v>111</v>
      </c>
      <c r="C17" s="4" t="s">
        <v>100</v>
      </c>
    </row>
    <row r="18" spans="1:3" ht="13.5" customHeight="1">
      <c r="A18" s="7" t="s">
        <v>115</v>
      </c>
      <c r="B18" s="7" t="s">
        <v>116</v>
      </c>
      <c r="C18" s="4" t="s">
        <v>100</v>
      </c>
    </row>
    <row r="19" spans="1:3" ht="13.5" customHeight="1">
      <c r="A19" s="7" t="s">
        <v>118</v>
      </c>
      <c r="B19" s="7" t="s">
        <v>119</v>
      </c>
      <c r="C19" s="4" t="s">
        <v>100</v>
      </c>
    </row>
    <row r="20" spans="1:3" ht="13.5" customHeight="1">
      <c r="A20" s="7" t="s">
        <v>122</v>
      </c>
      <c r="B20" s="7" t="s">
        <v>123</v>
      </c>
      <c r="C20" s="4" t="s">
        <v>100</v>
      </c>
    </row>
    <row r="21" spans="1:3" ht="13.5" customHeight="1">
      <c r="A21" s="7" t="s">
        <v>125</v>
      </c>
      <c r="B21" s="7" t="s">
        <v>126</v>
      </c>
      <c r="C21" s="4" t="s">
        <v>100</v>
      </c>
    </row>
    <row r="22" spans="1:3" ht="13.5" customHeight="1">
      <c r="A22" s="7" t="s">
        <v>129</v>
      </c>
      <c r="B22" s="7" t="s">
        <v>130</v>
      </c>
      <c r="C22" s="4" t="s">
        <v>100</v>
      </c>
    </row>
    <row r="23" spans="1:3" ht="13.5" customHeight="1">
      <c r="A23" s="7" t="s">
        <v>132</v>
      </c>
      <c r="B23" s="7" t="s">
        <v>133</v>
      </c>
      <c r="C23" s="4" t="s">
        <v>100</v>
      </c>
    </row>
    <row r="24" spans="1:3" ht="13.5" customHeight="1">
      <c r="A24" s="7" t="s">
        <v>134</v>
      </c>
      <c r="B24" s="7" t="s">
        <v>135</v>
      </c>
      <c r="C24" s="4" t="s">
        <v>136</v>
      </c>
    </row>
    <row r="25" spans="1:3" ht="13.5" customHeight="1">
      <c r="A25" s="7" t="s">
        <v>140</v>
      </c>
      <c r="B25" s="7" t="s">
        <v>141</v>
      </c>
      <c r="C25" s="4" t="s">
        <v>136</v>
      </c>
    </row>
    <row r="26" spans="1:3" ht="13.5" customHeight="1">
      <c r="A26" s="7" t="s">
        <v>143</v>
      </c>
      <c r="B26" s="7" t="s">
        <v>144</v>
      </c>
      <c r="C26" s="4" t="s">
        <v>136</v>
      </c>
    </row>
    <row r="27" spans="1:3" ht="13.5" customHeight="1">
      <c r="A27" s="7" t="s">
        <v>148</v>
      </c>
      <c r="B27" s="7" t="s">
        <v>149</v>
      </c>
      <c r="C27" s="4" t="s">
        <v>136</v>
      </c>
    </row>
    <row r="28" spans="1:3" ht="13.5" customHeight="1">
      <c r="A28" s="7" t="s">
        <v>151</v>
      </c>
      <c r="B28" s="7" t="s">
        <v>152</v>
      </c>
      <c r="C28" s="4" t="s">
        <v>136</v>
      </c>
    </row>
    <row r="29" spans="1:3" ht="13.5" customHeight="1">
      <c r="A29" s="7" t="s">
        <v>154</v>
      </c>
      <c r="B29" s="7" t="s">
        <v>155</v>
      </c>
      <c r="C29" s="4" t="s">
        <v>136</v>
      </c>
    </row>
    <row r="30" spans="1:3" ht="13.5" customHeight="1">
      <c r="A30" s="7" t="s">
        <v>157</v>
      </c>
      <c r="B30" s="7" t="s">
        <v>158</v>
      </c>
      <c r="C30" s="4" t="s">
        <v>136</v>
      </c>
    </row>
    <row r="31" spans="1:3" ht="13.5" customHeight="1">
      <c r="A31" s="7" t="s">
        <v>159</v>
      </c>
      <c r="B31" s="7" t="s">
        <v>160</v>
      </c>
      <c r="C31" s="4" t="s">
        <v>136</v>
      </c>
    </row>
    <row r="32" spans="1:3" ht="13.5" customHeight="1">
      <c r="A32" s="7" t="s">
        <v>161</v>
      </c>
      <c r="B32" s="7" t="s">
        <v>162</v>
      </c>
      <c r="C32" s="4" t="s">
        <v>136</v>
      </c>
    </row>
    <row r="33" spans="1:3" ht="13.5" customHeight="1">
      <c r="A33" s="7" t="s">
        <v>163</v>
      </c>
      <c r="B33" s="7" t="s">
        <v>164</v>
      </c>
      <c r="C33" s="4" t="s">
        <v>165</v>
      </c>
    </row>
    <row r="34" spans="1:3" ht="13.5" customHeight="1">
      <c r="A34" s="7" t="s">
        <v>168</v>
      </c>
      <c r="B34" s="7" t="s">
        <v>169</v>
      </c>
      <c r="C34" s="4" t="s">
        <v>165</v>
      </c>
    </row>
    <row r="35" spans="1:3" ht="13.5" customHeight="1">
      <c r="A35" s="7" t="s">
        <v>171</v>
      </c>
      <c r="B35" s="7" t="s">
        <v>172</v>
      </c>
      <c r="C35" s="4" t="s">
        <v>165</v>
      </c>
    </row>
    <row r="36" spans="1:3" ht="13.5" customHeight="1">
      <c r="A36" s="7" t="s">
        <v>174</v>
      </c>
      <c r="B36" s="7" t="s">
        <v>175</v>
      </c>
      <c r="C36" s="4" t="s">
        <v>176</v>
      </c>
    </row>
    <row r="37" spans="1:3" ht="13.5" customHeight="1">
      <c r="A37" s="7" t="s">
        <v>181</v>
      </c>
      <c r="B37" s="7" t="s">
        <v>182</v>
      </c>
      <c r="C37" s="4" t="s">
        <v>176</v>
      </c>
    </row>
    <row r="38" spans="1:3" ht="13.5" customHeight="1">
      <c r="A38" s="7" t="s">
        <v>184</v>
      </c>
      <c r="B38" s="7" t="s">
        <v>185</v>
      </c>
      <c r="C38" s="4" t="s">
        <v>176</v>
      </c>
    </row>
    <row r="39" spans="1:3" ht="13.5" customHeight="1">
      <c r="A39" s="7" t="s">
        <v>187</v>
      </c>
      <c r="B39" s="7" t="s">
        <v>188</v>
      </c>
      <c r="C39" s="4" t="s">
        <v>176</v>
      </c>
    </row>
    <row r="40" spans="1:3" ht="13.5" customHeight="1">
      <c r="A40" s="7" t="s">
        <v>190</v>
      </c>
      <c r="B40" s="7" t="s">
        <v>191</v>
      </c>
      <c r="C40" s="4" t="s">
        <v>176</v>
      </c>
    </row>
    <row r="41" spans="1:3" ht="13.5" customHeight="1">
      <c r="A41" s="7" t="s">
        <v>192</v>
      </c>
      <c r="B41" s="7" t="s">
        <v>193</v>
      </c>
      <c r="C41" s="4" t="s">
        <v>194</v>
      </c>
    </row>
    <row r="42" spans="1:3" ht="13.5" customHeight="1">
      <c r="A42" s="7" t="s">
        <v>198</v>
      </c>
      <c r="B42" s="7" t="s">
        <v>199</v>
      </c>
      <c r="C42" s="4" t="s">
        <v>194</v>
      </c>
    </row>
    <row r="43" spans="1:3" ht="13.5" customHeight="1">
      <c r="A43" s="7" t="s">
        <v>200</v>
      </c>
      <c r="B43" s="7" t="s">
        <v>201</v>
      </c>
      <c r="C43" s="4" t="s">
        <v>194</v>
      </c>
    </row>
    <row r="44" spans="1:3" ht="13.5" customHeight="1">
      <c r="A44" s="7" t="s">
        <v>202</v>
      </c>
      <c r="B44" s="7" t="s">
        <v>203</v>
      </c>
      <c r="C44" s="5" t="s">
        <v>204</v>
      </c>
    </row>
    <row r="45" spans="1:3" ht="13.5" customHeight="1">
      <c r="A45" s="7" t="s">
        <v>209</v>
      </c>
      <c r="B45" s="7" t="s">
        <v>210</v>
      </c>
      <c r="C45" s="9" t="s">
        <v>204</v>
      </c>
    </row>
    <row r="46" spans="1:3" ht="13.5" customHeight="1">
      <c r="A46" s="7" t="s">
        <v>216</v>
      </c>
      <c r="B46" s="7" t="s">
        <v>217</v>
      </c>
      <c r="C46" s="5" t="s">
        <v>204</v>
      </c>
    </row>
    <row r="47" spans="1:3" ht="13.5" customHeight="1">
      <c r="A47" s="7" t="s">
        <v>221</v>
      </c>
      <c r="B47" s="7" t="s">
        <v>222</v>
      </c>
      <c r="C47" s="9" t="s">
        <v>204</v>
      </c>
    </row>
    <row r="48" spans="1:3" ht="13.5" customHeight="1">
      <c r="A48" s="7" t="s">
        <v>226</v>
      </c>
      <c r="B48" s="7" t="s">
        <v>227</v>
      </c>
      <c r="C48" s="5" t="s">
        <v>204</v>
      </c>
    </row>
    <row r="49" spans="1:3" ht="13.5" customHeight="1">
      <c r="A49" s="7" t="s">
        <v>231</v>
      </c>
      <c r="B49" s="7" t="s">
        <v>232</v>
      </c>
      <c r="C49" s="4" t="s">
        <v>56</v>
      </c>
    </row>
    <row r="50" spans="1:3" ht="13.5" customHeight="1">
      <c r="A50" s="7" t="s">
        <v>234</v>
      </c>
      <c r="B50" s="7" t="s">
        <v>235</v>
      </c>
      <c r="C50" s="4" t="s">
        <v>56</v>
      </c>
    </row>
    <row r="51" spans="1:3" ht="13.5" customHeight="1">
      <c r="A51" s="7" t="s">
        <v>238</v>
      </c>
      <c r="B51" s="7" t="s">
        <v>239</v>
      </c>
      <c r="C51" s="4" t="s">
        <v>56</v>
      </c>
    </row>
    <row r="52" spans="1:3" ht="13.5" customHeight="1">
      <c r="A52" s="7" t="s">
        <v>241</v>
      </c>
      <c r="B52" s="7" t="s">
        <v>242</v>
      </c>
      <c r="C52" s="4" t="s">
        <v>48</v>
      </c>
    </row>
    <row r="53" spans="1:3" ht="13.5" customHeight="1">
      <c r="A53" s="7" t="s">
        <v>245</v>
      </c>
      <c r="B53" s="7" t="s">
        <v>246</v>
      </c>
      <c r="C53" s="4" t="s">
        <v>48</v>
      </c>
    </row>
    <row r="54" spans="1:3" ht="13.5" customHeight="1">
      <c r="A54" s="7" t="s">
        <v>247</v>
      </c>
      <c r="B54" s="7" t="s">
        <v>248</v>
      </c>
      <c r="C54" s="4" t="s">
        <v>48</v>
      </c>
    </row>
    <row r="55" spans="1:3" ht="13.5" customHeight="1">
      <c r="A55" s="7" t="s">
        <v>249</v>
      </c>
      <c r="B55" s="7" t="s">
        <v>250</v>
      </c>
      <c r="C55" s="4" t="s">
        <v>48</v>
      </c>
    </row>
    <row r="56" spans="1:3" ht="13.5" customHeight="1">
      <c r="A56" s="7" t="s">
        <v>251</v>
      </c>
      <c r="B56" s="7" t="s">
        <v>252</v>
      </c>
      <c r="C56" s="4" t="s">
        <v>48</v>
      </c>
    </row>
    <row r="57" spans="1:3" ht="13.5" customHeight="1">
      <c r="A57" s="7" t="s">
        <v>255</v>
      </c>
      <c r="B57" s="7" t="s">
        <v>256</v>
      </c>
      <c r="C57" s="4" t="s">
        <v>48</v>
      </c>
    </row>
    <row r="58" spans="1:3" ht="13.5" customHeight="1">
      <c r="A58" s="7" t="s">
        <v>258</v>
      </c>
      <c r="B58" s="7" t="s">
        <v>259</v>
      </c>
      <c r="C58" s="4" t="s">
        <v>48</v>
      </c>
    </row>
    <row r="59" spans="1:3" ht="13.5" customHeight="1">
      <c r="A59" s="7" t="s">
        <v>260</v>
      </c>
      <c r="B59" s="7" t="s">
        <v>261</v>
      </c>
      <c r="C59" s="4" t="s">
        <v>48</v>
      </c>
    </row>
    <row r="60" spans="1:3" ht="13.5" customHeight="1">
      <c r="A60" s="7" t="s">
        <v>263</v>
      </c>
      <c r="B60" s="7" t="s">
        <v>264</v>
      </c>
      <c r="C60" s="4" t="s">
        <v>48</v>
      </c>
    </row>
    <row r="61" spans="1:3" ht="13.5" customHeight="1">
      <c r="A61" s="7" t="s">
        <v>265</v>
      </c>
      <c r="B61" s="7" t="s">
        <v>266</v>
      </c>
      <c r="C61" s="4" t="s">
        <v>48</v>
      </c>
    </row>
    <row r="62" spans="1:3" ht="13.5" customHeight="1">
      <c r="A62" s="7" t="s">
        <v>269</v>
      </c>
      <c r="B62" s="7" t="s">
        <v>270</v>
      </c>
      <c r="C62" s="4" t="s">
        <v>48</v>
      </c>
    </row>
    <row r="63" spans="1:3" ht="13.5" customHeight="1">
      <c r="A63" s="7" t="s">
        <v>271</v>
      </c>
      <c r="B63" s="7" t="s">
        <v>272</v>
      </c>
      <c r="C63" s="4" t="s">
        <v>48</v>
      </c>
    </row>
    <row r="64" spans="1:3" ht="13.5" customHeight="1">
      <c r="A64" s="7" t="s">
        <v>273</v>
      </c>
      <c r="B64" s="7" t="s">
        <v>274</v>
      </c>
      <c r="C64" s="4" t="s">
        <v>48</v>
      </c>
    </row>
    <row r="65" spans="1:3" ht="13.5" customHeight="1">
      <c r="A65" s="7" t="s">
        <v>276</v>
      </c>
      <c r="B65" s="7" t="s">
        <v>277</v>
      </c>
      <c r="C65" s="4" t="s">
        <v>48</v>
      </c>
    </row>
    <row r="66" spans="1:3" ht="13.5" customHeight="1">
      <c r="A66" s="7" t="s">
        <v>280</v>
      </c>
      <c r="B66" s="7" t="s">
        <v>281</v>
      </c>
      <c r="C66" s="4" t="s">
        <v>48</v>
      </c>
    </row>
    <row r="67" spans="1:3" ht="13.5" customHeight="1">
      <c r="A67" s="7" t="s">
        <v>282</v>
      </c>
      <c r="B67" s="7" t="s">
        <v>283</v>
      </c>
      <c r="C67" s="4" t="s">
        <v>48</v>
      </c>
    </row>
    <row r="68" spans="1:3" ht="13.5" customHeight="1">
      <c r="A68" s="7" t="s">
        <v>286</v>
      </c>
      <c r="B68" s="7" t="s">
        <v>287</v>
      </c>
      <c r="C68" s="4" t="s">
        <v>48</v>
      </c>
    </row>
    <row r="69" spans="1:3" ht="13.5" customHeight="1">
      <c r="A69" s="7" t="s">
        <v>288</v>
      </c>
      <c r="B69" s="7" t="s">
        <v>289</v>
      </c>
      <c r="C69" s="4" t="s">
        <v>48</v>
      </c>
    </row>
    <row r="70" spans="1:3" ht="13.5" customHeight="1">
      <c r="A70" s="7" t="s">
        <v>291</v>
      </c>
      <c r="B70" s="7" t="s">
        <v>292</v>
      </c>
      <c r="C70" s="4" t="s">
        <v>48</v>
      </c>
    </row>
    <row r="71" spans="1:3" ht="13.5" customHeight="1">
      <c r="A71" s="7" t="s">
        <v>293</v>
      </c>
      <c r="B71" s="7" t="s">
        <v>294</v>
      </c>
      <c r="C71" s="4" t="s">
        <v>48</v>
      </c>
    </row>
    <row r="72" spans="1:3" ht="13.5" customHeight="1">
      <c r="A72" s="7" t="s">
        <v>295</v>
      </c>
      <c r="B72" s="7" t="s">
        <v>296</v>
      </c>
      <c r="C72" s="4" t="s">
        <v>48</v>
      </c>
    </row>
    <row r="73" spans="1:3" ht="13.5" customHeight="1">
      <c r="A73" s="7" t="s">
        <v>297</v>
      </c>
      <c r="B73" s="7" t="s">
        <v>298</v>
      </c>
      <c r="C73" s="4" t="s">
        <v>48</v>
      </c>
    </row>
    <row r="74" spans="1:3" ht="13.5" customHeight="1">
      <c r="A74" s="7" t="s">
        <v>301</v>
      </c>
      <c r="B74" s="7" t="s">
        <v>302</v>
      </c>
      <c r="C74" s="4" t="s">
        <v>48</v>
      </c>
    </row>
    <row r="75" spans="1:3" ht="13.5" customHeight="1">
      <c r="A75" s="7" t="s">
        <v>303</v>
      </c>
      <c r="B75" s="7" t="s">
        <v>304</v>
      </c>
      <c r="C75" s="4" t="s">
        <v>48</v>
      </c>
    </row>
    <row r="76" spans="1:3" ht="13.5" customHeight="1">
      <c r="A76" s="7" t="s">
        <v>305</v>
      </c>
      <c r="B76" s="7" t="s">
        <v>306</v>
      </c>
      <c r="C76" s="4" t="s">
        <v>48</v>
      </c>
    </row>
    <row r="77" spans="1:3" ht="13.5" customHeight="1">
      <c r="A77" s="7" t="s">
        <v>307</v>
      </c>
      <c r="B77" s="7" t="s">
        <v>308</v>
      </c>
      <c r="C77" s="4" t="s">
        <v>48</v>
      </c>
    </row>
    <row r="78" spans="1:3" ht="13.5" customHeight="1">
      <c r="A78" s="7" t="s">
        <v>310</v>
      </c>
      <c r="B78" s="7" t="s">
        <v>311</v>
      </c>
      <c r="C78" s="4" t="s">
        <v>48</v>
      </c>
    </row>
    <row r="79" spans="1:3" ht="13.5" customHeight="1">
      <c r="A79" s="7" t="s">
        <v>313</v>
      </c>
      <c r="B79" s="7" t="s">
        <v>314</v>
      </c>
      <c r="C79" s="4" t="s">
        <v>48</v>
      </c>
    </row>
    <row r="80" spans="1:3" ht="13.5" customHeight="1">
      <c r="A80" s="7" t="s">
        <v>317</v>
      </c>
      <c r="B80" s="7" t="s">
        <v>318</v>
      </c>
      <c r="C80" s="4" t="s">
        <v>48</v>
      </c>
    </row>
    <row r="81" spans="1:3" ht="13.5" customHeight="1">
      <c r="A81" s="7" t="s">
        <v>321</v>
      </c>
      <c r="B81" s="7" t="s">
        <v>322</v>
      </c>
      <c r="C81" s="4" t="s">
        <v>48</v>
      </c>
    </row>
    <row r="82" spans="1:3" ht="13.5" customHeight="1">
      <c r="A82" s="7" t="s">
        <v>325</v>
      </c>
      <c r="B82" s="7" t="s">
        <v>326</v>
      </c>
      <c r="C82" s="4" t="s">
        <v>48</v>
      </c>
    </row>
    <row r="83" spans="1:3" ht="13.5" customHeight="1">
      <c r="A83" s="7" t="s">
        <v>327</v>
      </c>
      <c r="B83" s="7" t="s">
        <v>328</v>
      </c>
      <c r="C83" s="4" t="s">
        <v>48</v>
      </c>
    </row>
    <row r="84" spans="1:3" ht="13.5" customHeight="1">
      <c r="A84" s="7" t="s">
        <v>329</v>
      </c>
      <c r="B84" s="7" t="s">
        <v>330</v>
      </c>
      <c r="C84" s="4" t="s">
        <v>48</v>
      </c>
    </row>
    <row r="85" spans="1:3" ht="13.5" customHeight="1">
      <c r="A85" s="7" t="s">
        <v>331</v>
      </c>
      <c r="B85" s="7" t="s">
        <v>332</v>
      </c>
      <c r="C85" s="4" t="s">
        <v>48</v>
      </c>
    </row>
    <row r="86" spans="1:3" ht="13.5" customHeight="1">
      <c r="A86" s="7" t="s">
        <v>334</v>
      </c>
      <c r="B86" s="7" t="s">
        <v>335</v>
      </c>
      <c r="C86" s="4" t="s">
        <v>48</v>
      </c>
    </row>
    <row r="87" spans="1:3" ht="13.5" customHeight="1">
      <c r="A87" s="7" t="s">
        <v>336</v>
      </c>
      <c r="B87" s="7" t="s">
        <v>337</v>
      </c>
      <c r="C87" s="4" t="s">
        <v>48</v>
      </c>
    </row>
    <row r="88" spans="1:3" ht="13.5" customHeight="1">
      <c r="A88" s="7" t="s">
        <v>338</v>
      </c>
      <c r="B88" s="7" t="s">
        <v>339</v>
      </c>
      <c r="C88" s="4" t="s">
        <v>340</v>
      </c>
    </row>
    <row r="89" spans="1:3" ht="13.5" customHeight="1">
      <c r="A89" s="7" t="s">
        <v>344</v>
      </c>
      <c r="B89" s="7" t="s">
        <v>345</v>
      </c>
      <c r="C89" s="4" t="s">
        <v>340</v>
      </c>
    </row>
    <row r="90" spans="1:3" ht="13.5" customHeight="1">
      <c r="A90" s="7" t="s">
        <v>347</v>
      </c>
      <c r="B90" s="7" t="s">
        <v>348</v>
      </c>
      <c r="C90" s="4" t="s">
        <v>340</v>
      </c>
    </row>
    <row r="91" spans="1:3" ht="13.5" customHeight="1">
      <c r="A91" s="7" t="s">
        <v>350</v>
      </c>
      <c r="B91" s="7" t="s">
        <v>351</v>
      </c>
      <c r="C91" s="4" t="s">
        <v>340</v>
      </c>
    </row>
    <row r="92" spans="1:3" ht="13.5" customHeight="1">
      <c r="A92" s="7" t="s">
        <v>353</v>
      </c>
      <c r="B92" s="7" t="s">
        <v>354</v>
      </c>
      <c r="C92" s="4" t="s">
        <v>340</v>
      </c>
    </row>
    <row r="93" spans="1:3" ht="13.5" customHeight="1">
      <c r="A93" s="7" t="s">
        <v>356</v>
      </c>
      <c r="B93" s="7" t="s">
        <v>357</v>
      </c>
      <c r="C93" s="4" t="s">
        <v>340</v>
      </c>
    </row>
    <row r="94" spans="1:3" ht="13.5" customHeight="1">
      <c r="A94" s="7" t="s">
        <v>359</v>
      </c>
      <c r="B94" s="7" t="s">
        <v>360</v>
      </c>
      <c r="C94" s="4" t="s">
        <v>340</v>
      </c>
    </row>
    <row r="95" spans="1:3" ht="13.5" customHeight="1">
      <c r="A95" s="7" t="s">
        <v>363</v>
      </c>
      <c r="B95" s="7" t="s">
        <v>364</v>
      </c>
      <c r="C95" s="4" t="s">
        <v>340</v>
      </c>
    </row>
    <row r="96" spans="1:3" ht="13.5" customHeight="1">
      <c r="A96" s="7" t="s">
        <v>365</v>
      </c>
      <c r="B96" s="7" t="s">
        <v>366</v>
      </c>
      <c r="C96" s="4" t="s">
        <v>340</v>
      </c>
    </row>
    <row r="97" spans="1:3" ht="13.5" customHeight="1">
      <c r="A97" s="7" t="s">
        <v>367</v>
      </c>
      <c r="B97" s="7" t="s">
        <v>368</v>
      </c>
      <c r="C97" s="4" t="s">
        <v>340</v>
      </c>
    </row>
    <row r="98" spans="1:3" ht="13.5" customHeight="1">
      <c r="A98" s="7" t="s">
        <v>369</v>
      </c>
      <c r="B98" s="7" t="s">
        <v>370</v>
      </c>
      <c r="C98" s="4" t="s">
        <v>340</v>
      </c>
    </row>
    <row r="99" spans="1:3" ht="13.5" customHeight="1">
      <c r="A99" s="7" t="s">
        <v>371</v>
      </c>
      <c r="B99" s="7" t="s">
        <v>372</v>
      </c>
      <c r="C99" s="4" t="s">
        <v>340</v>
      </c>
    </row>
    <row r="100" spans="1:3" ht="13.5" customHeight="1">
      <c r="A100" s="7" t="s">
        <v>375</v>
      </c>
      <c r="B100" s="7" t="s">
        <v>376</v>
      </c>
      <c r="C100" s="4" t="s">
        <v>340</v>
      </c>
    </row>
    <row r="101" spans="1:3" ht="13.5" customHeight="1">
      <c r="A101" s="7" t="s">
        <v>377</v>
      </c>
      <c r="B101" s="7" t="s">
        <v>378</v>
      </c>
      <c r="C101" s="4" t="s">
        <v>340</v>
      </c>
    </row>
    <row r="102" spans="1:3" ht="13.5" customHeight="1">
      <c r="A102" s="7" t="s">
        <v>379</v>
      </c>
      <c r="B102" s="7" t="s">
        <v>380</v>
      </c>
      <c r="C102" s="4" t="s">
        <v>340</v>
      </c>
    </row>
    <row r="103" spans="1:3" ht="13.5" customHeight="1">
      <c r="A103" s="7" t="s">
        <v>381</v>
      </c>
      <c r="B103" s="7" t="s">
        <v>382</v>
      </c>
      <c r="C103" s="4" t="s">
        <v>340</v>
      </c>
    </row>
    <row r="104" spans="1:3" ht="13.5" customHeight="1">
      <c r="A104" s="7" t="s">
        <v>383</v>
      </c>
      <c r="B104" s="7" t="s">
        <v>384</v>
      </c>
      <c r="C104" s="4" t="s">
        <v>340</v>
      </c>
    </row>
    <row r="105" spans="1:3" ht="13.5" customHeight="1">
      <c r="A105" s="7" t="s">
        <v>385</v>
      </c>
      <c r="B105" s="7" t="s">
        <v>386</v>
      </c>
      <c r="C105" s="4" t="s">
        <v>340</v>
      </c>
    </row>
    <row r="106" spans="1:3" ht="13.5" customHeight="1">
      <c r="A106" s="7" t="s">
        <v>387</v>
      </c>
      <c r="B106" s="7" t="s">
        <v>388</v>
      </c>
      <c r="C106" s="4" t="s">
        <v>340</v>
      </c>
    </row>
    <row r="107" spans="1:3" ht="13.5" customHeight="1">
      <c r="A107" s="7" t="s">
        <v>389</v>
      </c>
      <c r="B107" s="7" t="s">
        <v>390</v>
      </c>
      <c r="C107" s="4" t="s">
        <v>340</v>
      </c>
    </row>
    <row r="108" spans="1:3" ht="13.5" customHeight="1">
      <c r="A108" s="7" t="s">
        <v>393</v>
      </c>
      <c r="B108" s="7" t="s">
        <v>394</v>
      </c>
      <c r="C108" s="4" t="s">
        <v>340</v>
      </c>
    </row>
    <row r="109" spans="1:3" ht="13.5" customHeight="1">
      <c r="A109" s="7" t="s">
        <v>395</v>
      </c>
      <c r="B109" s="7" t="s">
        <v>396</v>
      </c>
      <c r="C109" s="4" t="s">
        <v>340</v>
      </c>
    </row>
    <row r="110" spans="1:3" ht="13.5" customHeight="1">
      <c r="A110" s="7" t="s">
        <v>397</v>
      </c>
      <c r="B110" s="7" t="s">
        <v>398</v>
      </c>
      <c r="C110" s="4" t="s">
        <v>340</v>
      </c>
    </row>
    <row r="111" spans="1:3" ht="13.5" customHeight="1">
      <c r="A111" s="7" t="s">
        <v>399</v>
      </c>
      <c r="B111" s="7" t="s">
        <v>400</v>
      </c>
      <c r="C111" s="4" t="s">
        <v>56</v>
      </c>
    </row>
    <row r="112" spans="1:3" ht="13.5" customHeight="1">
      <c r="A112" s="7" t="s">
        <v>401</v>
      </c>
      <c r="B112" s="7" t="s">
        <v>402</v>
      </c>
      <c r="C112" s="4" t="s">
        <v>403</v>
      </c>
    </row>
    <row r="113" spans="1:3" ht="13.5" customHeight="1">
      <c r="A113" s="7" t="s">
        <v>407</v>
      </c>
      <c r="B113" s="7" t="s">
        <v>408</v>
      </c>
      <c r="C113" s="4" t="s">
        <v>409</v>
      </c>
    </row>
    <row r="114" spans="1:3" ht="13.5" customHeight="1">
      <c r="A114" s="7" t="s">
        <v>412</v>
      </c>
      <c r="B114" s="7" t="s">
        <v>413</v>
      </c>
      <c r="C114" s="4" t="s">
        <v>409</v>
      </c>
    </row>
    <row r="115" spans="1:3" ht="13.5" customHeight="1">
      <c r="A115" s="7" t="s">
        <v>416</v>
      </c>
      <c r="B115" s="7" t="s">
        <v>417</v>
      </c>
      <c r="C115" s="4" t="s">
        <v>409</v>
      </c>
    </row>
    <row r="116" spans="1:3" ht="13.5" customHeight="1">
      <c r="A116" s="7" t="s">
        <v>419</v>
      </c>
      <c r="B116" s="7" t="s">
        <v>420</v>
      </c>
      <c r="C116" s="4" t="s">
        <v>409</v>
      </c>
    </row>
    <row r="117" spans="1:3" ht="13.5" customHeight="1">
      <c r="A117" s="7" t="s">
        <v>423</v>
      </c>
      <c r="B117" s="7" t="s">
        <v>424</v>
      </c>
      <c r="C117" s="4" t="s">
        <v>409</v>
      </c>
    </row>
    <row r="118" spans="1:3" ht="13.5" customHeight="1">
      <c r="A118" s="7" t="s">
        <v>426</v>
      </c>
      <c r="B118" s="7" t="s">
        <v>427</v>
      </c>
      <c r="C118" s="4" t="s">
        <v>428</v>
      </c>
    </row>
    <row r="119" spans="1:3" ht="13.5" customHeight="1">
      <c r="A119" s="7" t="s">
        <v>432</v>
      </c>
      <c r="B119" s="7" t="s">
        <v>433</v>
      </c>
      <c r="C119" s="4" t="s">
        <v>428</v>
      </c>
    </row>
    <row r="120" spans="1:3" ht="13.5" customHeight="1">
      <c r="A120" s="7" t="s">
        <v>436</v>
      </c>
      <c r="B120" s="7" t="s">
        <v>437</v>
      </c>
      <c r="C120" s="4" t="s">
        <v>428</v>
      </c>
    </row>
    <row r="121" spans="1:3" ht="13.5" customHeight="1">
      <c r="A121" s="7" t="s">
        <v>439</v>
      </c>
      <c r="B121" s="7" t="s">
        <v>440</v>
      </c>
      <c r="C121" s="4" t="s">
        <v>428</v>
      </c>
    </row>
    <row r="122" spans="1:3" ht="13.5" customHeight="1">
      <c r="A122" s="7" t="s">
        <v>443</v>
      </c>
      <c r="B122" s="7" t="s">
        <v>444</v>
      </c>
      <c r="C122" s="4" t="s">
        <v>428</v>
      </c>
    </row>
    <row r="123" spans="1:3" ht="13.5" customHeight="1">
      <c r="A123" s="7" t="s">
        <v>447</v>
      </c>
      <c r="B123" s="7" t="s">
        <v>448</v>
      </c>
      <c r="C123" s="4" t="s">
        <v>428</v>
      </c>
    </row>
    <row r="124" spans="1:3" ht="13.5" customHeight="1">
      <c r="A124" s="7" t="s">
        <v>450</v>
      </c>
      <c r="B124" s="7" t="s">
        <v>451</v>
      </c>
      <c r="C124" s="4" t="s">
        <v>428</v>
      </c>
    </row>
    <row r="125" spans="1:3" ht="13.5" customHeight="1">
      <c r="A125" s="7" t="s">
        <v>452</v>
      </c>
      <c r="B125" s="7" t="s">
        <v>453</v>
      </c>
      <c r="C125" s="4" t="s">
        <v>428</v>
      </c>
    </row>
    <row r="126" spans="1:3" ht="13.5" customHeight="1">
      <c r="A126" s="7" t="s">
        <v>454</v>
      </c>
      <c r="B126" s="7" t="s">
        <v>455</v>
      </c>
      <c r="C126" s="4" t="s">
        <v>428</v>
      </c>
    </row>
    <row r="127" spans="1:3" ht="13.5" customHeight="1">
      <c r="A127" s="7" t="s">
        <v>456</v>
      </c>
      <c r="B127" s="7" t="s">
        <v>457</v>
      </c>
      <c r="C127" s="4" t="s">
        <v>428</v>
      </c>
    </row>
    <row r="128" spans="1:3" ht="13.5" customHeight="1">
      <c r="A128" s="7" t="s">
        <v>458</v>
      </c>
      <c r="B128" s="7" t="s">
        <v>459</v>
      </c>
      <c r="C128" s="4" t="s">
        <v>460</v>
      </c>
    </row>
    <row r="129" spans="1:3" ht="13.5" customHeight="1">
      <c r="A129" s="7" t="s">
        <v>461</v>
      </c>
      <c r="B129" s="7" t="s">
        <v>462</v>
      </c>
      <c r="C129" s="4" t="s">
        <v>460</v>
      </c>
    </row>
    <row r="130" spans="1:3" ht="13.5" customHeight="1">
      <c r="A130" s="7" t="s">
        <v>464</v>
      </c>
      <c r="B130" s="7" t="s">
        <v>465</v>
      </c>
      <c r="C130" s="4" t="s">
        <v>460</v>
      </c>
    </row>
    <row r="131" spans="1:3" ht="13.5" customHeight="1">
      <c r="A131" s="7" t="s">
        <v>466</v>
      </c>
      <c r="B131" s="7" t="s">
        <v>467</v>
      </c>
      <c r="C131" s="4" t="s">
        <v>460</v>
      </c>
    </row>
    <row r="132" spans="1:3" ht="13.5" customHeight="1">
      <c r="A132" s="7" t="s">
        <v>469</v>
      </c>
      <c r="B132" s="7" t="s">
        <v>470</v>
      </c>
      <c r="C132" s="4" t="s">
        <v>460</v>
      </c>
    </row>
    <row r="133" spans="1:3" ht="13.5" customHeight="1">
      <c r="A133" s="7" t="s">
        <v>471</v>
      </c>
      <c r="B133" s="7" t="s">
        <v>472</v>
      </c>
      <c r="C133" s="4" t="s">
        <v>460</v>
      </c>
    </row>
    <row r="134" spans="1:3" ht="13.5" customHeight="1">
      <c r="A134" s="7" t="s">
        <v>473</v>
      </c>
      <c r="B134" s="7" t="s">
        <v>474</v>
      </c>
      <c r="C134" s="4" t="s">
        <v>460</v>
      </c>
    </row>
    <row r="135" spans="1:3" ht="13.5" customHeight="1">
      <c r="A135" s="7" t="s">
        <v>475</v>
      </c>
      <c r="B135" s="7" t="s">
        <v>476</v>
      </c>
      <c r="C135" s="4" t="s">
        <v>477</v>
      </c>
    </row>
    <row r="136" spans="1:3" ht="13.5" customHeight="1">
      <c r="A136" s="7" t="s">
        <v>480</v>
      </c>
      <c r="B136" s="7" t="s">
        <v>481</v>
      </c>
      <c r="C136" s="4" t="s">
        <v>477</v>
      </c>
    </row>
    <row r="137" spans="1:3" ht="13.5" customHeight="1">
      <c r="A137" s="7" t="s">
        <v>482</v>
      </c>
      <c r="B137" s="7" t="s">
        <v>483</v>
      </c>
      <c r="C137" s="4" t="s">
        <v>484</v>
      </c>
    </row>
    <row r="138" spans="1:3" ht="13.5" customHeight="1">
      <c r="A138" s="7" t="s">
        <v>486</v>
      </c>
      <c r="B138" s="7" t="s">
        <v>487</v>
      </c>
      <c r="C138" s="4" t="s">
        <v>484</v>
      </c>
    </row>
    <row r="139" spans="1:3" ht="13.5" customHeight="1">
      <c r="A139" s="7" t="s">
        <v>489</v>
      </c>
      <c r="B139" s="7" t="s">
        <v>490</v>
      </c>
      <c r="C139" s="4" t="s">
        <v>484</v>
      </c>
    </row>
    <row r="140" spans="1:3" ht="13.5" customHeight="1">
      <c r="A140" s="7" t="s">
        <v>491</v>
      </c>
      <c r="B140" s="7" t="s">
        <v>492</v>
      </c>
      <c r="C140" s="4" t="s">
        <v>484</v>
      </c>
    </row>
    <row r="141" spans="1:3" ht="13.5" customHeight="1">
      <c r="A141" s="7" t="s">
        <v>493</v>
      </c>
      <c r="B141" s="7" t="s">
        <v>494</v>
      </c>
      <c r="C141" s="4" t="s">
        <v>484</v>
      </c>
    </row>
    <row r="142" spans="1:3" ht="13.5" customHeight="1">
      <c r="A142" s="7" t="s">
        <v>496</v>
      </c>
      <c r="B142" s="7" t="s">
        <v>497</v>
      </c>
      <c r="C142" s="4" t="s">
        <v>484</v>
      </c>
    </row>
    <row r="143" spans="1:3" ht="13.5" customHeight="1">
      <c r="A143" s="7" t="s">
        <v>499</v>
      </c>
      <c r="B143" s="7" t="s">
        <v>500</v>
      </c>
      <c r="C143" s="4" t="s">
        <v>484</v>
      </c>
    </row>
    <row r="144" spans="1:3" ht="13.5" customHeight="1">
      <c r="A144" s="7" t="s">
        <v>502</v>
      </c>
      <c r="B144" s="7" t="s">
        <v>503</v>
      </c>
      <c r="C144" s="4" t="s">
        <v>484</v>
      </c>
    </row>
    <row r="145" spans="1:3" ht="13.5" customHeight="1">
      <c r="A145" s="7" t="s">
        <v>504</v>
      </c>
      <c r="B145" s="7" t="s">
        <v>505</v>
      </c>
      <c r="C145" s="4" t="s">
        <v>484</v>
      </c>
    </row>
    <row r="146" spans="1:3" ht="13.5" customHeight="1">
      <c r="A146" s="7" t="s">
        <v>507</v>
      </c>
      <c r="B146" s="7" t="s">
        <v>508</v>
      </c>
      <c r="C146" s="4" t="s">
        <v>484</v>
      </c>
    </row>
    <row r="147" spans="1:3" ht="13.5" customHeight="1">
      <c r="A147" s="7" t="s">
        <v>509</v>
      </c>
      <c r="B147" s="7" t="s">
        <v>510</v>
      </c>
      <c r="C147" s="4" t="s">
        <v>484</v>
      </c>
    </row>
    <row r="148" spans="1:3" ht="13.5" customHeight="1">
      <c r="A148" s="7" t="s">
        <v>513</v>
      </c>
      <c r="B148" s="7" t="s">
        <v>514</v>
      </c>
      <c r="C148" s="5" t="s">
        <v>515</v>
      </c>
    </row>
    <row r="149" spans="1:3" ht="13.5" customHeight="1">
      <c r="A149" s="7" t="s">
        <v>517</v>
      </c>
      <c r="B149" s="7" t="s">
        <v>518</v>
      </c>
      <c r="C149" s="5" t="s">
        <v>515</v>
      </c>
    </row>
    <row r="150" spans="1:3" ht="13.5" customHeight="1">
      <c r="A150" s="7" t="s">
        <v>523</v>
      </c>
      <c r="B150" s="7" t="s">
        <v>524</v>
      </c>
      <c r="C150" s="5" t="s">
        <v>515</v>
      </c>
    </row>
    <row r="151" spans="1:3" ht="13.5" customHeight="1">
      <c r="A151" s="7" t="s">
        <v>525</v>
      </c>
      <c r="B151" s="7" t="s">
        <v>526</v>
      </c>
      <c r="C151" s="5" t="s">
        <v>515</v>
      </c>
    </row>
    <row r="152" spans="1:3" ht="13.5" customHeight="1">
      <c r="A152" s="7" t="s">
        <v>527</v>
      </c>
      <c r="B152" s="7" t="s">
        <v>528</v>
      </c>
      <c r="C152" s="5" t="s">
        <v>515</v>
      </c>
    </row>
    <row r="153" spans="1:3" ht="13.5" customHeight="1">
      <c r="A153" s="7" t="s">
        <v>530</v>
      </c>
      <c r="B153" s="7" t="s">
        <v>531</v>
      </c>
      <c r="C153" s="5" t="s">
        <v>515</v>
      </c>
    </row>
    <row r="154" spans="1:3" ht="13.5" customHeight="1">
      <c r="A154" s="7" t="s">
        <v>533</v>
      </c>
      <c r="B154" s="7" t="s">
        <v>534</v>
      </c>
      <c r="C154" s="5" t="s">
        <v>515</v>
      </c>
    </row>
    <row r="155" spans="1:3" ht="13.5" customHeight="1">
      <c r="A155" s="7" t="s">
        <v>536</v>
      </c>
      <c r="B155" s="7" t="s">
        <v>537</v>
      </c>
      <c r="C155" s="5" t="s">
        <v>538</v>
      </c>
    </row>
    <row r="156" spans="1:3" ht="13.5" customHeight="1">
      <c r="A156" s="7" t="s">
        <v>541</v>
      </c>
      <c r="B156" s="7" t="s">
        <v>542</v>
      </c>
      <c r="C156" s="5" t="s">
        <v>538</v>
      </c>
    </row>
    <row r="157" spans="1:3" ht="13.5" customHeight="1">
      <c r="A157" s="7" t="s">
        <v>544</v>
      </c>
      <c r="B157" s="7" t="s">
        <v>545</v>
      </c>
      <c r="C157" s="5" t="s">
        <v>538</v>
      </c>
    </row>
    <row r="158" spans="1:3" ht="13.5" customHeight="1">
      <c r="A158" s="7" t="s">
        <v>547</v>
      </c>
      <c r="B158" s="7" t="s">
        <v>548</v>
      </c>
      <c r="C158" s="5" t="s">
        <v>538</v>
      </c>
    </row>
    <row r="159" spans="1:3" ht="13.5" customHeight="1">
      <c r="A159" s="7" t="s">
        <v>549</v>
      </c>
      <c r="B159" s="7" t="s">
        <v>550</v>
      </c>
      <c r="C159" s="5" t="s">
        <v>538</v>
      </c>
    </row>
    <row r="160" spans="1:3" ht="13.5" customHeight="1">
      <c r="A160" s="7" t="s">
        <v>551</v>
      </c>
      <c r="B160" s="7" t="s">
        <v>552</v>
      </c>
      <c r="C160" s="5" t="s">
        <v>538</v>
      </c>
    </row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995"/>
  <sheetViews>
    <sheetView tabSelected="1" workbookViewId="0">
      <selection activeCell="B1" sqref="B1"/>
    </sheetView>
  </sheetViews>
  <sheetFormatPr defaultColWidth="14.44140625" defaultRowHeight="15" customHeight="1"/>
  <cols>
    <col min="1" max="1" width="14.44140625" bestFit="1" customWidth="1"/>
    <col min="2" max="2" width="34.44140625" customWidth="1"/>
    <col min="3" max="3" width="23.6640625" bestFit="1" customWidth="1"/>
  </cols>
  <sheetData>
    <row r="1" spans="1:4" s="43" customFormat="1" ht="14.4">
      <c r="A1" s="18" t="s">
        <v>3</v>
      </c>
      <c r="B1" s="18" t="s">
        <v>792</v>
      </c>
      <c r="C1" s="18" t="s">
        <v>5</v>
      </c>
    </row>
    <row r="2" spans="1:4" s="44" customFormat="1" ht="17.25" customHeight="1">
      <c r="A2" s="22" t="s">
        <v>21</v>
      </c>
      <c r="B2" s="22" t="s">
        <v>22</v>
      </c>
      <c r="C2" s="22" t="s">
        <v>23</v>
      </c>
      <c r="D2" s="50"/>
    </row>
    <row r="3" spans="1:4" s="44" customFormat="1" ht="17.25" customHeight="1">
      <c r="A3" s="22" t="s">
        <v>34</v>
      </c>
      <c r="B3" s="22" t="s">
        <v>35</v>
      </c>
      <c r="C3" s="22" t="s">
        <v>23</v>
      </c>
      <c r="D3" s="50"/>
    </row>
    <row r="4" spans="1:4" s="44" customFormat="1" ht="17.25" customHeight="1">
      <c r="A4" s="22" t="s">
        <v>38</v>
      </c>
      <c r="B4" s="22" t="s">
        <v>39</v>
      </c>
      <c r="C4" s="22" t="s">
        <v>23</v>
      </c>
      <c r="D4" s="50"/>
    </row>
    <row r="5" spans="1:4" s="44" customFormat="1" ht="17.25" customHeight="1">
      <c r="A5" s="22" t="s">
        <v>46</v>
      </c>
      <c r="B5" s="22" t="s">
        <v>47</v>
      </c>
      <c r="C5" s="22" t="s">
        <v>48</v>
      </c>
      <c r="D5" s="50"/>
    </row>
    <row r="6" spans="1:4" s="44" customFormat="1" ht="17.25" customHeight="1">
      <c r="A6" s="22" t="s">
        <v>54</v>
      </c>
      <c r="B6" s="22" t="s">
        <v>55</v>
      </c>
      <c r="C6" s="22" t="s">
        <v>56</v>
      </c>
      <c r="D6" s="50"/>
    </row>
    <row r="7" spans="1:4" s="44" customFormat="1" ht="17.25" customHeight="1">
      <c r="A7" s="22" t="s">
        <v>61</v>
      </c>
      <c r="B7" s="22" t="s">
        <v>62</v>
      </c>
      <c r="C7" s="22" t="s">
        <v>63</v>
      </c>
      <c r="D7" s="50"/>
    </row>
    <row r="8" spans="1:4" s="44" customFormat="1" ht="17.25" customHeight="1">
      <c r="A8" s="22" t="s">
        <v>65</v>
      </c>
      <c r="B8" s="22" t="s">
        <v>66</v>
      </c>
      <c r="C8" s="22" t="s">
        <v>67</v>
      </c>
      <c r="D8" s="50"/>
    </row>
    <row r="9" spans="1:4" s="44" customFormat="1" ht="17.25" customHeight="1">
      <c r="A9" s="22" t="s">
        <v>71</v>
      </c>
      <c r="B9" s="22" t="s">
        <v>72</v>
      </c>
      <c r="C9" s="22" t="s">
        <v>73</v>
      </c>
      <c r="D9" s="50"/>
    </row>
    <row r="10" spans="1:4" s="44" customFormat="1" ht="17.25" customHeight="1">
      <c r="A10" s="22" t="s">
        <v>78</v>
      </c>
      <c r="B10" s="22" t="s">
        <v>79</v>
      </c>
      <c r="C10" s="22" t="s">
        <v>73</v>
      </c>
      <c r="D10" s="50"/>
    </row>
    <row r="11" spans="1:4" s="44" customFormat="1" ht="17.25" customHeight="1">
      <c r="A11" s="22" t="s">
        <v>81</v>
      </c>
      <c r="B11" s="22" t="s">
        <v>82</v>
      </c>
      <c r="C11" s="22" t="s">
        <v>83</v>
      </c>
      <c r="D11" s="50"/>
    </row>
    <row r="12" spans="1:4" s="44" customFormat="1" ht="17.25" customHeight="1">
      <c r="A12" s="22" t="s">
        <v>86</v>
      </c>
      <c r="B12" s="22" t="s">
        <v>87</v>
      </c>
      <c r="C12" s="22" t="s">
        <v>88</v>
      </c>
      <c r="D12" s="50"/>
    </row>
    <row r="13" spans="1:4" s="44" customFormat="1" ht="17.25" customHeight="1">
      <c r="A13" s="22" t="s">
        <v>91</v>
      </c>
      <c r="B13" s="22" t="s">
        <v>92</v>
      </c>
      <c r="C13" s="22" t="s">
        <v>73</v>
      </c>
      <c r="D13" s="50"/>
    </row>
    <row r="14" spans="1:4" s="44" customFormat="1" ht="17.25" customHeight="1">
      <c r="A14" s="22" t="s">
        <v>95</v>
      </c>
      <c r="B14" s="22" t="s">
        <v>96</v>
      </c>
      <c r="C14" s="22" t="s">
        <v>73</v>
      </c>
      <c r="D14" s="50"/>
    </row>
    <row r="15" spans="1:4" s="49" customFormat="1" ht="17.25" customHeight="1">
      <c r="A15" s="22" t="s">
        <v>98</v>
      </c>
      <c r="B15" s="22" t="s">
        <v>99</v>
      </c>
      <c r="C15" s="22" t="s">
        <v>100</v>
      </c>
      <c r="D15" s="50"/>
    </row>
    <row r="16" spans="1:4" s="49" customFormat="1" ht="17.25" customHeight="1">
      <c r="A16" s="22" t="s">
        <v>106</v>
      </c>
      <c r="B16" s="22" t="s">
        <v>107</v>
      </c>
      <c r="C16" s="22" t="s">
        <v>100</v>
      </c>
    </row>
    <row r="17" spans="1:3" s="49" customFormat="1" ht="17.25" customHeight="1">
      <c r="A17" s="22" t="s">
        <v>110</v>
      </c>
      <c r="B17" s="22" t="s">
        <v>111</v>
      </c>
      <c r="C17" s="22" t="s">
        <v>100</v>
      </c>
    </row>
    <row r="18" spans="1:3" s="49" customFormat="1" ht="17.25" customHeight="1">
      <c r="A18" s="22" t="s">
        <v>115</v>
      </c>
      <c r="B18" s="22" t="s">
        <v>116</v>
      </c>
      <c r="C18" s="22" t="s">
        <v>100</v>
      </c>
    </row>
    <row r="19" spans="1:3" s="49" customFormat="1" ht="17.25" customHeight="1">
      <c r="A19" s="22" t="s">
        <v>118</v>
      </c>
      <c r="B19" s="22" t="s">
        <v>119</v>
      </c>
      <c r="C19" s="22" t="s">
        <v>100</v>
      </c>
    </row>
    <row r="20" spans="1:3" s="49" customFormat="1" ht="17.25" customHeight="1">
      <c r="A20" s="22" t="s">
        <v>122</v>
      </c>
      <c r="B20" s="22" t="s">
        <v>123</v>
      </c>
      <c r="C20" s="22" t="s">
        <v>100</v>
      </c>
    </row>
    <row r="21" spans="1:3" s="49" customFormat="1" ht="17.25" customHeight="1">
      <c r="A21" s="22" t="s">
        <v>125</v>
      </c>
      <c r="B21" s="22" t="s">
        <v>633</v>
      </c>
      <c r="C21" s="22" t="s">
        <v>100</v>
      </c>
    </row>
    <row r="22" spans="1:3" s="49" customFormat="1" ht="17.25" customHeight="1">
      <c r="A22" s="22" t="s">
        <v>129</v>
      </c>
      <c r="B22" s="22" t="s">
        <v>130</v>
      </c>
      <c r="C22" s="22" t="s">
        <v>100</v>
      </c>
    </row>
    <row r="23" spans="1:3" s="49" customFormat="1" ht="17.25" customHeight="1">
      <c r="A23" s="22" t="s">
        <v>132</v>
      </c>
      <c r="B23" s="22" t="s">
        <v>133</v>
      </c>
      <c r="C23" s="22" t="s">
        <v>100</v>
      </c>
    </row>
    <row r="24" spans="1:3" s="44" customFormat="1" ht="17.25" customHeight="1">
      <c r="A24" s="22" t="s">
        <v>134</v>
      </c>
      <c r="B24" s="22" t="s">
        <v>135</v>
      </c>
      <c r="C24" s="22" t="s">
        <v>136</v>
      </c>
    </row>
    <row r="25" spans="1:3" s="44" customFormat="1" ht="17.25" customHeight="1">
      <c r="A25" s="22" t="s">
        <v>140</v>
      </c>
      <c r="B25" s="22" t="s">
        <v>635</v>
      </c>
      <c r="C25" s="22" t="s">
        <v>136</v>
      </c>
    </row>
    <row r="26" spans="1:3" s="44" customFormat="1" ht="17.25" customHeight="1">
      <c r="A26" s="22" t="s">
        <v>143</v>
      </c>
      <c r="B26" s="22" t="s">
        <v>144</v>
      </c>
      <c r="C26" s="22" t="s">
        <v>136</v>
      </c>
    </row>
    <row r="27" spans="1:3" s="44" customFormat="1" ht="17.25" customHeight="1">
      <c r="A27" s="22" t="s">
        <v>148</v>
      </c>
      <c r="B27" s="22" t="s">
        <v>149</v>
      </c>
      <c r="C27" s="22" t="s">
        <v>136</v>
      </c>
    </row>
    <row r="28" spans="1:3" s="44" customFormat="1" ht="17.25" customHeight="1">
      <c r="A28" s="22" t="s">
        <v>151</v>
      </c>
      <c r="B28" s="22" t="s">
        <v>152</v>
      </c>
      <c r="C28" s="22" t="s">
        <v>136</v>
      </c>
    </row>
    <row r="29" spans="1:3" s="44" customFormat="1" ht="17.25" customHeight="1">
      <c r="A29" s="22" t="s">
        <v>154</v>
      </c>
      <c r="B29" s="22" t="s">
        <v>155</v>
      </c>
      <c r="C29" s="22" t="s">
        <v>136</v>
      </c>
    </row>
    <row r="30" spans="1:3" s="44" customFormat="1" ht="17.25" customHeight="1">
      <c r="A30" s="22" t="s">
        <v>157</v>
      </c>
      <c r="B30" s="22" t="s">
        <v>158</v>
      </c>
      <c r="C30" s="22" t="s">
        <v>136</v>
      </c>
    </row>
    <row r="31" spans="1:3" s="44" customFormat="1" ht="17.25" customHeight="1">
      <c r="A31" s="22" t="s">
        <v>159</v>
      </c>
      <c r="B31" s="22" t="s">
        <v>160</v>
      </c>
      <c r="C31" s="22" t="s">
        <v>136</v>
      </c>
    </row>
    <row r="32" spans="1:3" s="44" customFormat="1" ht="17.25" customHeight="1">
      <c r="A32" s="22" t="s">
        <v>161</v>
      </c>
      <c r="B32" s="22" t="s">
        <v>162</v>
      </c>
      <c r="C32" s="22" t="s">
        <v>136</v>
      </c>
    </row>
    <row r="33" spans="1:3" s="44" customFormat="1" ht="17.25" customHeight="1">
      <c r="A33" s="22" t="s">
        <v>163</v>
      </c>
      <c r="B33" s="22" t="s">
        <v>164</v>
      </c>
      <c r="C33" s="22" t="s">
        <v>165</v>
      </c>
    </row>
    <row r="34" spans="1:3" s="44" customFormat="1" ht="17.25" customHeight="1">
      <c r="A34" s="22" t="s">
        <v>168</v>
      </c>
      <c r="B34" s="22" t="s">
        <v>169</v>
      </c>
      <c r="C34" s="22" t="s">
        <v>165</v>
      </c>
    </row>
    <row r="35" spans="1:3" s="44" customFormat="1" ht="17.25" customHeight="1">
      <c r="A35" s="22" t="s">
        <v>171</v>
      </c>
      <c r="B35" s="22" t="s">
        <v>172</v>
      </c>
      <c r="C35" s="22" t="s">
        <v>165</v>
      </c>
    </row>
    <row r="36" spans="1:3" s="50" customFormat="1" ht="17.25" customHeight="1">
      <c r="A36" s="22" t="s">
        <v>174</v>
      </c>
      <c r="B36" s="22" t="s">
        <v>580</v>
      </c>
      <c r="C36" s="22" t="s">
        <v>648</v>
      </c>
    </row>
    <row r="37" spans="1:3" s="50" customFormat="1" ht="17.25" customHeight="1">
      <c r="A37" s="22" t="s">
        <v>181</v>
      </c>
      <c r="B37" s="22" t="s">
        <v>581</v>
      </c>
      <c r="C37" s="22" t="s">
        <v>648</v>
      </c>
    </row>
    <row r="38" spans="1:3" s="50" customFormat="1" ht="17.25" customHeight="1">
      <c r="A38" s="22" t="s">
        <v>184</v>
      </c>
      <c r="B38" s="22" t="s">
        <v>582</v>
      </c>
      <c r="C38" s="22" t="s">
        <v>648</v>
      </c>
    </row>
    <row r="39" spans="1:3" s="50" customFormat="1" ht="17.25" customHeight="1">
      <c r="A39" s="22" t="s">
        <v>187</v>
      </c>
      <c r="B39" s="22" t="s">
        <v>583</v>
      </c>
      <c r="C39" s="22" t="s">
        <v>648</v>
      </c>
    </row>
    <row r="40" spans="1:3" s="50" customFormat="1" ht="17.25" customHeight="1">
      <c r="A40" s="22" t="s">
        <v>190</v>
      </c>
      <c r="B40" s="22" t="s">
        <v>191</v>
      </c>
      <c r="C40" s="22" t="s">
        <v>648</v>
      </c>
    </row>
    <row r="41" spans="1:3" s="50" customFormat="1" ht="17.25" customHeight="1">
      <c r="A41" s="22" t="s">
        <v>192</v>
      </c>
      <c r="B41" s="22" t="s">
        <v>193</v>
      </c>
      <c r="C41" s="22" t="s">
        <v>194</v>
      </c>
    </row>
    <row r="42" spans="1:3" s="50" customFormat="1" ht="17.25" customHeight="1">
      <c r="A42" s="22" t="s">
        <v>198</v>
      </c>
      <c r="B42" s="22" t="s">
        <v>199</v>
      </c>
      <c r="C42" s="22" t="s">
        <v>194</v>
      </c>
    </row>
    <row r="43" spans="1:3" s="50" customFormat="1" ht="17.25" customHeight="1">
      <c r="A43" s="22" t="s">
        <v>200</v>
      </c>
      <c r="B43" s="22" t="s">
        <v>201</v>
      </c>
      <c r="C43" s="22" t="s">
        <v>194</v>
      </c>
    </row>
    <row r="44" spans="1:3" s="50" customFormat="1" ht="17.25" customHeight="1">
      <c r="A44" s="22" t="s">
        <v>202</v>
      </c>
      <c r="B44" s="22" t="s">
        <v>203</v>
      </c>
      <c r="C44" s="22" t="s">
        <v>204</v>
      </c>
    </row>
    <row r="45" spans="1:3" s="50" customFormat="1" ht="17.25" customHeight="1">
      <c r="A45" s="22" t="s">
        <v>209</v>
      </c>
      <c r="B45" s="22" t="s">
        <v>210</v>
      </c>
      <c r="C45" s="22" t="s">
        <v>204</v>
      </c>
    </row>
    <row r="46" spans="1:3" s="50" customFormat="1" ht="17.25" customHeight="1">
      <c r="A46" s="22" t="s">
        <v>216</v>
      </c>
      <c r="B46" s="22" t="s">
        <v>217</v>
      </c>
      <c r="C46" s="22" t="s">
        <v>204</v>
      </c>
    </row>
    <row r="47" spans="1:3" s="50" customFormat="1" ht="17.25" customHeight="1">
      <c r="A47" s="22" t="s">
        <v>221</v>
      </c>
      <c r="B47" s="22" t="s">
        <v>222</v>
      </c>
      <c r="C47" s="22" t="s">
        <v>204</v>
      </c>
    </row>
    <row r="48" spans="1:3" s="50" customFormat="1" ht="17.25" customHeight="1">
      <c r="A48" s="22" t="s">
        <v>226</v>
      </c>
      <c r="B48" s="22" t="s">
        <v>593</v>
      </c>
      <c r="C48" s="22" t="s">
        <v>204</v>
      </c>
    </row>
    <row r="49" spans="1:4" s="44" customFormat="1" ht="17.25" customHeight="1">
      <c r="A49" s="22" t="s">
        <v>231</v>
      </c>
      <c r="B49" s="22" t="s">
        <v>232</v>
      </c>
      <c r="C49" s="22" t="s">
        <v>56</v>
      </c>
      <c r="D49" s="50"/>
    </row>
    <row r="50" spans="1:4" s="44" customFormat="1" ht="17.25" customHeight="1">
      <c r="A50" s="22" t="s">
        <v>234</v>
      </c>
      <c r="B50" s="22" t="s">
        <v>235</v>
      </c>
      <c r="C50" s="22" t="s">
        <v>56</v>
      </c>
      <c r="D50" s="50"/>
    </row>
    <row r="51" spans="1:4" s="44" customFormat="1" ht="17.25" customHeight="1">
      <c r="A51" s="22" t="s">
        <v>238</v>
      </c>
      <c r="B51" s="22" t="s">
        <v>239</v>
      </c>
      <c r="C51" s="22" t="s">
        <v>56</v>
      </c>
      <c r="D51" s="50"/>
    </row>
    <row r="52" spans="1:4" s="44" customFormat="1" ht="17.25" customHeight="1">
      <c r="A52" s="22" t="s">
        <v>241</v>
      </c>
      <c r="B52" s="22" t="s">
        <v>242</v>
      </c>
      <c r="C52" s="22" t="s">
        <v>48</v>
      </c>
      <c r="D52" s="50"/>
    </row>
    <row r="53" spans="1:4" s="44" customFormat="1" ht="17.25" customHeight="1">
      <c r="A53" s="22" t="s">
        <v>245</v>
      </c>
      <c r="B53" s="22" t="s">
        <v>246</v>
      </c>
      <c r="C53" s="22" t="s">
        <v>48</v>
      </c>
      <c r="D53" s="50"/>
    </row>
    <row r="54" spans="1:4" s="44" customFormat="1" ht="17.25" customHeight="1">
      <c r="A54" s="22" t="s">
        <v>247</v>
      </c>
      <c r="B54" s="22" t="s">
        <v>248</v>
      </c>
      <c r="C54" s="22" t="s">
        <v>48</v>
      </c>
      <c r="D54" s="50"/>
    </row>
    <row r="55" spans="1:4" s="44" customFormat="1" ht="17.25" customHeight="1">
      <c r="A55" s="22" t="s">
        <v>249</v>
      </c>
      <c r="B55" s="22" t="s">
        <v>250</v>
      </c>
      <c r="C55" s="22" t="s">
        <v>48</v>
      </c>
      <c r="D55" s="50"/>
    </row>
    <row r="56" spans="1:4" s="44" customFormat="1" ht="17.25" customHeight="1">
      <c r="A56" s="22" t="s">
        <v>251</v>
      </c>
      <c r="B56" s="22" t="s">
        <v>252</v>
      </c>
      <c r="C56" s="22" t="s">
        <v>48</v>
      </c>
      <c r="D56" s="50"/>
    </row>
    <row r="57" spans="1:4" s="44" customFormat="1" ht="17.25" customHeight="1">
      <c r="A57" s="22" t="s">
        <v>255</v>
      </c>
      <c r="B57" s="22" t="s">
        <v>256</v>
      </c>
      <c r="C57" s="22" t="s">
        <v>48</v>
      </c>
      <c r="D57" s="50"/>
    </row>
    <row r="58" spans="1:4" s="44" customFormat="1" ht="17.25" customHeight="1">
      <c r="A58" s="22" t="s">
        <v>258</v>
      </c>
      <c r="B58" s="22" t="s">
        <v>259</v>
      </c>
      <c r="C58" s="22" t="s">
        <v>48</v>
      </c>
      <c r="D58" s="50"/>
    </row>
    <row r="59" spans="1:4" s="44" customFormat="1" ht="17.25" customHeight="1">
      <c r="A59" s="22" t="s">
        <v>260</v>
      </c>
      <c r="B59" s="22" t="s">
        <v>261</v>
      </c>
      <c r="C59" s="22" t="s">
        <v>48</v>
      </c>
      <c r="D59" s="50"/>
    </row>
    <row r="60" spans="1:4" s="44" customFormat="1" ht="17.25" customHeight="1">
      <c r="A60" s="22" t="s">
        <v>263</v>
      </c>
      <c r="B60" s="22" t="s">
        <v>264</v>
      </c>
      <c r="C60" s="22" t="s">
        <v>48</v>
      </c>
      <c r="D60" s="50"/>
    </row>
    <row r="61" spans="1:4" s="44" customFormat="1" ht="17.25" customHeight="1">
      <c r="A61" s="22" t="s">
        <v>265</v>
      </c>
      <c r="B61" s="22" t="s">
        <v>266</v>
      </c>
      <c r="C61" s="22" t="s">
        <v>48</v>
      </c>
      <c r="D61" s="50"/>
    </row>
    <row r="62" spans="1:4" s="44" customFormat="1" ht="17.25" customHeight="1">
      <c r="A62" s="22" t="s">
        <v>269</v>
      </c>
      <c r="B62" s="22" t="s">
        <v>270</v>
      </c>
      <c r="C62" s="22" t="s">
        <v>48</v>
      </c>
      <c r="D62" s="50"/>
    </row>
    <row r="63" spans="1:4" s="44" customFormat="1" ht="17.25" customHeight="1">
      <c r="A63" s="22" t="s">
        <v>271</v>
      </c>
      <c r="B63" s="22" t="s">
        <v>272</v>
      </c>
      <c r="C63" s="22" t="s">
        <v>48</v>
      </c>
      <c r="D63" s="50"/>
    </row>
    <row r="64" spans="1:4" s="44" customFormat="1" ht="17.25" customHeight="1">
      <c r="A64" s="22" t="s">
        <v>273</v>
      </c>
      <c r="B64" s="22" t="s">
        <v>274</v>
      </c>
      <c r="C64" s="22" t="s">
        <v>48</v>
      </c>
      <c r="D64" s="50"/>
    </row>
    <row r="65" spans="1:4" s="44" customFormat="1" ht="17.25" customHeight="1">
      <c r="A65" s="22" t="s">
        <v>276</v>
      </c>
      <c r="B65" s="22" t="s">
        <v>277</v>
      </c>
      <c r="C65" s="22" t="s">
        <v>48</v>
      </c>
      <c r="D65" s="50"/>
    </row>
    <row r="66" spans="1:4" s="44" customFormat="1" ht="17.25" customHeight="1">
      <c r="A66" s="22" t="s">
        <v>280</v>
      </c>
      <c r="B66" s="22" t="s">
        <v>281</v>
      </c>
      <c r="C66" s="22" t="s">
        <v>48</v>
      </c>
      <c r="D66" s="50"/>
    </row>
    <row r="67" spans="1:4" s="44" customFormat="1" ht="17.25" customHeight="1">
      <c r="A67" s="22" t="s">
        <v>282</v>
      </c>
      <c r="B67" s="22" t="s">
        <v>283</v>
      </c>
      <c r="C67" s="22" t="s">
        <v>48</v>
      </c>
      <c r="D67" s="50"/>
    </row>
    <row r="68" spans="1:4" s="44" customFormat="1" ht="17.25" customHeight="1">
      <c r="A68" s="22" t="s">
        <v>286</v>
      </c>
      <c r="B68" s="22" t="s">
        <v>287</v>
      </c>
      <c r="C68" s="22" t="s">
        <v>48</v>
      </c>
      <c r="D68" s="50"/>
    </row>
    <row r="69" spans="1:4" s="44" customFormat="1" ht="17.25" customHeight="1">
      <c r="A69" s="22" t="s">
        <v>288</v>
      </c>
      <c r="B69" s="22" t="s">
        <v>289</v>
      </c>
      <c r="C69" s="22" t="s">
        <v>48</v>
      </c>
      <c r="D69" s="50"/>
    </row>
    <row r="70" spans="1:4" s="44" customFormat="1" ht="17.25" customHeight="1">
      <c r="A70" s="22" t="s">
        <v>291</v>
      </c>
      <c r="B70" s="22" t="s">
        <v>292</v>
      </c>
      <c r="C70" s="22" t="s">
        <v>48</v>
      </c>
      <c r="D70" s="50"/>
    </row>
    <row r="71" spans="1:4" s="44" customFormat="1" ht="17.25" customHeight="1">
      <c r="A71" s="22" t="s">
        <v>293</v>
      </c>
      <c r="B71" s="22" t="s">
        <v>294</v>
      </c>
      <c r="C71" s="22" t="s">
        <v>48</v>
      </c>
      <c r="D71" s="50"/>
    </row>
    <row r="72" spans="1:4" s="44" customFormat="1" ht="17.25" customHeight="1">
      <c r="A72" s="22" t="s">
        <v>295</v>
      </c>
      <c r="B72" s="22" t="s">
        <v>296</v>
      </c>
      <c r="C72" s="22" t="s">
        <v>48</v>
      </c>
      <c r="D72" s="50"/>
    </row>
    <row r="73" spans="1:4" s="44" customFormat="1" ht="17.25" customHeight="1">
      <c r="A73" s="22" t="s">
        <v>297</v>
      </c>
      <c r="B73" s="22" t="s">
        <v>298</v>
      </c>
      <c r="C73" s="22" t="s">
        <v>48</v>
      </c>
      <c r="D73" s="50"/>
    </row>
    <row r="74" spans="1:4" s="44" customFormat="1" ht="17.25" customHeight="1">
      <c r="A74" s="22" t="s">
        <v>301</v>
      </c>
      <c r="B74" s="22" t="s">
        <v>302</v>
      </c>
      <c r="C74" s="22" t="s">
        <v>48</v>
      </c>
      <c r="D74" s="50"/>
    </row>
    <row r="75" spans="1:4" s="44" customFormat="1" ht="17.25" customHeight="1">
      <c r="A75" s="22" t="s">
        <v>303</v>
      </c>
      <c r="B75" s="22" t="s">
        <v>304</v>
      </c>
      <c r="C75" s="22" t="s">
        <v>48</v>
      </c>
      <c r="D75" s="50"/>
    </row>
    <row r="76" spans="1:4" s="44" customFormat="1" ht="17.25" customHeight="1">
      <c r="A76" s="22" t="s">
        <v>305</v>
      </c>
      <c r="B76" s="22" t="s">
        <v>306</v>
      </c>
      <c r="C76" s="22" t="s">
        <v>48</v>
      </c>
      <c r="D76" s="50"/>
    </row>
    <row r="77" spans="1:4" s="44" customFormat="1" ht="17.25" customHeight="1">
      <c r="A77" s="22" t="s">
        <v>307</v>
      </c>
      <c r="B77" s="22" t="s">
        <v>308</v>
      </c>
      <c r="C77" s="22" t="s">
        <v>48</v>
      </c>
      <c r="D77" s="50"/>
    </row>
    <row r="78" spans="1:4" s="44" customFormat="1" ht="17.25" customHeight="1">
      <c r="A78" s="22" t="s">
        <v>310</v>
      </c>
      <c r="B78" s="22" t="s">
        <v>311</v>
      </c>
      <c r="C78" s="22" t="s">
        <v>48</v>
      </c>
      <c r="D78" s="50"/>
    </row>
    <row r="79" spans="1:4" s="44" customFormat="1" ht="17.25" customHeight="1">
      <c r="A79" s="22" t="s">
        <v>313</v>
      </c>
      <c r="B79" s="22" t="s">
        <v>314</v>
      </c>
      <c r="C79" s="22" t="s">
        <v>48</v>
      </c>
      <c r="D79" s="50"/>
    </row>
    <row r="80" spans="1:4" s="44" customFormat="1" ht="17.25" customHeight="1">
      <c r="A80" s="22" t="s">
        <v>317</v>
      </c>
      <c r="B80" s="22" t="s">
        <v>318</v>
      </c>
      <c r="C80" s="22" t="s">
        <v>48</v>
      </c>
    </row>
    <row r="81" spans="1:3" s="44" customFormat="1" ht="17.25" customHeight="1">
      <c r="A81" s="22" t="s">
        <v>321</v>
      </c>
      <c r="B81" s="22" t="s">
        <v>322</v>
      </c>
      <c r="C81" s="22" t="s">
        <v>48</v>
      </c>
    </row>
    <row r="82" spans="1:3" s="44" customFormat="1" ht="17.25" customHeight="1">
      <c r="A82" s="22" t="s">
        <v>325</v>
      </c>
      <c r="B82" s="22" t="s">
        <v>326</v>
      </c>
      <c r="C82" s="22" t="s">
        <v>48</v>
      </c>
    </row>
    <row r="83" spans="1:3" s="44" customFormat="1" ht="17.25" customHeight="1">
      <c r="A83" s="22" t="s">
        <v>327</v>
      </c>
      <c r="B83" s="22" t="s">
        <v>328</v>
      </c>
      <c r="C83" s="22" t="s">
        <v>48</v>
      </c>
    </row>
    <row r="84" spans="1:3" s="44" customFormat="1" ht="17.25" customHeight="1">
      <c r="A84" s="22" t="s">
        <v>329</v>
      </c>
      <c r="B84" s="22" t="s">
        <v>330</v>
      </c>
      <c r="C84" s="22" t="s">
        <v>48</v>
      </c>
    </row>
    <row r="85" spans="1:3" s="44" customFormat="1" ht="17.25" customHeight="1">
      <c r="A85" s="22" t="s">
        <v>331</v>
      </c>
      <c r="B85" s="22" t="s">
        <v>332</v>
      </c>
      <c r="C85" s="22" t="s">
        <v>48</v>
      </c>
    </row>
    <row r="86" spans="1:3" s="44" customFormat="1" ht="17.25" customHeight="1">
      <c r="A86" s="22" t="s">
        <v>334</v>
      </c>
      <c r="B86" s="22" t="s">
        <v>335</v>
      </c>
      <c r="C86" s="22" t="s">
        <v>48</v>
      </c>
    </row>
    <row r="87" spans="1:3" s="44" customFormat="1" ht="17.25" customHeight="1">
      <c r="A87" s="22" t="s">
        <v>336</v>
      </c>
      <c r="B87" s="22" t="s">
        <v>337</v>
      </c>
      <c r="C87" s="22" t="s">
        <v>48</v>
      </c>
    </row>
    <row r="88" spans="1:3" s="44" customFormat="1" ht="17.25" customHeight="1">
      <c r="A88" s="22" t="s">
        <v>338</v>
      </c>
      <c r="B88" s="22" t="s">
        <v>584</v>
      </c>
      <c r="C88" s="22" t="s">
        <v>340</v>
      </c>
    </row>
    <row r="89" spans="1:3" s="44" customFormat="1" ht="17.25" customHeight="1">
      <c r="A89" s="22" t="s">
        <v>344</v>
      </c>
      <c r="B89" s="22" t="s">
        <v>585</v>
      </c>
      <c r="C89" s="22" t="s">
        <v>340</v>
      </c>
    </row>
    <row r="90" spans="1:3" s="44" customFormat="1" ht="17.25" customHeight="1">
      <c r="A90" s="22" t="s">
        <v>347</v>
      </c>
      <c r="B90" s="22" t="s">
        <v>587</v>
      </c>
      <c r="C90" s="22" t="s">
        <v>340</v>
      </c>
    </row>
    <row r="91" spans="1:3" s="44" customFormat="1" ht="17.25" customHeight="1">
      <c r="A91" s="22" t="s">
        <v>350</v>
      </c>
      <c r="B91" s="22" t="s">
        <v>589</v>
      </c>
      <c r="C91" s="22" t="s">
        <v>340</v>
      </c>
    </row>
    <row r="92" spans="1:3" s="44" customFormat="1" ht="17.25" customHeight="1">
      <c r="A92" s="22" t="s">
        <v>353</v>
      </c>
      <c r="B92" s="22" t="s">
        <v>354</v>
      </c>
      <c r="C92" s="22" t="s">
        <v>340</v>
      </c>
    </row>
    <row r="93" spans="1:3" s="44" customFormat="1" ht="17.25" customHeight="1">
      <c r="A93" s="22" t="s">
        <v>356</v>
      </c>
      <c r="B93" s="22" t="s">
        <v>357</v>
      </c>
      <c r="C93" s="22" t="s">
        <v>340</v>
      </c>
    </row>
    <row r="94" spans="1:3" s="44" customFormat="1" ht="17.25" customHeight="1">
      <c r="A94" s="22" t="s">
        <v>359</v>
      </c>
      <c r="B94" s="22" t="s">
        <v>360</v>
      </c>
      <c r="C94" s="22" t="s">
        <v>340</v>
      </c>
    </row>
    <row r="95" spans="1:3" s="44" customFormat="1" ht="17.25" customHeight="1">
      <c r="A95" s="22" t="s">
        <v>363</v>
      </c>
      <c r="B95" s="22" t="s">
        <v>364</v>
      </c>
      <c r="C95" s="22" t="s">
        <v>340</v>
      </c>
    </row>
    <row r="96" spans="1:3" s="44" customFormat="1" ht="17.25" customHeight="1">
      <c r="A96" s="22" t="s">
        <v>365</v>
      </c>
      <c r="B96" s="22" t="s">
        <v>366</v>
      </c>
      <c r="C96" s="22" t="s">
        <v>340</v>
      </c>
    </row>
    <row r="97" spans="1:3" s="44" customFormat="1" ht="17.25" customHeight="1">
      <c r="A97" s="22" t="s">
        <v>367</v>
      </c>
      <c r="B97" s="22" t="s">
        <v>368</v>
      </c>
      <c r="C97" s="22" t="s">
        <v>340</v>
      </c>
    </row>
    <row r="98" spans="1:3" s="44" customFormat="1" ht="17.25" customHeight="1">
      <c r="A98" s="22" t="s">
        <v>369</v>
      </c>
      <c r="B98" s="22" t="s">
        <v>370</v>
      </c>
      <c r="C98" s="22" t="s">
        <v>340</v>
      </c>
    </row>
    <row r="99" spans="1:3" s="44" customFormat="1" ht="17.25" customHeight="1">
      <c r="A99" s="22" t="s">
        <v>371</v>
      </c>
      <c r="B99" s="22" t="s">
        <v>372</v>
      </c>
      <c r="C99" s="22" t="s">
        <v>340</v>
      </c>
    </row>
    <row r="100" spans="1:3" s="44" customFormat="1" ht="17.25" customHeight="1">
      <c r="A100" s="22" t="s">
        <v>375</v>
      </c>
      <c r="B100" s="22" t="s">
        <v>376</v>
      </c>
      <c r="C100" s="22" t="s">
        <v>340</v>
      </c>
    </row>
    <row r="101" spans="1:3" s="44" customFormat="1" ht="17.25" customHeight="1">
      <c r="A101" s="22" t="s">
        <v>377</v>
      </c>
      <c r="B101" s="22" t="s">
        <v>378</v>
      </c>
      <c r="C101" s="22" t="s">
        <v>340</v>
      </c>
    </row>
    <row r="102" spans="1:3" s="44" customFormat="1" ht="17.25" customHeight="1">
      <c r="A102" s="22" t="s">
        <v>379</v>
      </c>
      <c r="B102" s="22" t="s">
        <v>380</v>
      </c>
      <c r="C102" s="22" t="s">
        <v>340</v>
      </c>
    </row>
    <row r="103" spans="1:3" s="44" customFormat="1" ht="17.25" customHeight="1">
      <c r="A103" s="22" t="s">
        <v>381</v>
      </c>
      <c r="B103" s="22" t="s">
        <v>382</v>
      </c>
      <c r="C103" s="22" t="s">
        <v>340</v>
      </c>
    </row>
    <row r="104" spans="1:3" s="44" customFormat="1" ht="17.25" customHeight="1">
      <c r="A104" s="22" t="s">
        <v>383</v>
      </c>
      <c r="B104" s="22" t="s">
        <v>384</v>
      </c>
      <c r="C104" s="22" t="s">
        <v>340</v>
      </c>
    </row>
    <row r="105" spans="1:3" s="44" customFormat="1" ht="17.25" customHeight="1">
      <c r="A105" s="22" t="s">
        <v>385</v>
      </c>
      <c r="B105" s="22" t="s">
        <v>386</v>
      </c>
      <c r="C105" s="22" t="s">
        <v>340</v>
      </c>
    </row>
    <row r="106" spans="1:3" s="44" customFormat="1" ht="17.25" customHeight="1">
      <c r="A106" s="22" t="s">
        <v>387</v>
      </c>
      <c r="B106" s="22" t="s">
        <v>388</v>
      </c>
      <c r="C106" s="22" t="s">
        <v>340</v>
      </c>
    </row>
    <row r="107" spans="1:3" s="44" customFormat="1" ht="17.25" customHeight="1">
      <c r="A107" s="22" t="s">
        <v>389</v>
      </c>
      <c r="B107" s="22" t="s">
        <v>390</v>
      </c>
      <c r="C107" s="22" t="s">
        <v>340</v>
      </c>
    </row>
    <row r="108" spans="1:3" s="44" customFormat="1" ht="17.25" customHeight="1">
      <c r="A108" s="22" t="s">
        <v>393</v>
      </c>
      <c r="B108" s="22" t="s">
        <v>394</v>
      </c>
      <c r="C108" s="22" t="s">
        <v>340</v>
      </c>
    </row>
    <row r="109" spans="1:3" s="44" customFormat="1" ht="17.25" customHeight="1">
      <c r="A109" s="22" t="s">
        <v>395</v>
      </c>
      <c r="B109" s="22" t="s">
        <v>396</v>
      </c>
      <c r="C109" s="22" t="s">
        <v>340</v>
      </c>
    </row>
    <row r="110" spans="1:3" s="44" customFormat="1" ht="17.25" customHeight="1">
      <c r="A110" s="22" t="s">
        <v>397</v>
      </c>
      <c r="B110" s="22" t="s">
        <v>398</v>
      </c>
      <c r="C110" s="22" t="s">
        <v>340</v>
      </c>
    </row>
    <row r="111" spans="1:3" s="44" customFormat="1" ht="17.25" customHeight="1">
      <c r="A111" s="22" t="s">
        <v>399</v>
      </c>
      <c r="B111" s="22" t="s">
        <v>400</v>
      </c>
      <c r="C111" s="22" t="s">
        <v>56</v>
      </c>
    </row>
    <row r="112" spans="1:3" s="44" customFormat="1" ht="17.25" customHeight="1">
      <c r="A112" s="22" t="s">
        <v>401</v>
      </c>
      <c r="B112" s="22" t="s">
        <v>402</v>
      </c>
      <c r="C112" s="22" t="s">
        <v>403</v>
      </c>
    </row>
    <row r="113" spans="1:3" s="44" customFormat="1" ht="17.25" customHeight="1">
      <c r="A113" s="22" t="s">
        <v>407</v>
      </c>
      <c r="B113" s="22" t="s">
        <v>408</v>
      </c>
      <c r="C113" s="22" t="s">
        <v>409</v>
      </c>
    </row>
    <row r="114" spans="1:3" s="44" customFormat="1" ht="17.25" customHeight="1">
      <c r="A114" s="22" t="s">
        <v>412</v>
      </c>
      <c r="B114" s="22" t="s">
        <v>413</v>
      </c>
      <c r="C114" s="22" t="s">
        <v>409</v>
      </c>
    </row>
    <row r="115" spans="1:3" s="44" customFormat="1" ht="17.25" customHeight="1">
      <c r="A115" s="22" t="s">
        <v>416</v>
      </c>
      <c r="B115" s="22" t="s">
        <v>417</v>
      </c>
      <c r="C115" s="22" t="s">
        <v>409</v>
      </c>
    </row>
    <row r="116" spans="1:3" s="44" customFormat="1" ht="17.25" customHeight="1">
      <c r="A116" s="22" t="s">
        <v>419</v>
      </c>
      <c r="B116" s="22" t="s">
        <v>420</v>
      </c>
      <c r="C116" s="22" t="s">
        <v>409</v>
      </c>
    </row>
    <row r="117" spans="1:3" s="44" customFormat="1" ht="17.25" customHeight="1">
      <c r="A117" s="22" t="s">
        <v>423</v>
      </c>
      <c r="B117" s="22" t="s">
        <v>424</v>
      </c>
      <c r="C117" s="22" t="s">
        <v>409</v>
      </c>
    </row>
    <row r="118" spans="1:3" s="44" customFormat="1" ht="17.25" customHeight="1">
      <c r="A118" s="22" t="s">
        <v>426</v>
      </c>
      <c r="B118" s="22" t="s">
        <v>427</v>
      </c>
      <c r="C118" s="22" t="s">
        <v>428</v>
      </c>
    </row>
    <row r="119" spans="1:3" s="44" customFormat="1" ht="17.25" customHeight="1">
      <c r="A119" s="22" t="s">
        <v>432</v>
      </c>
      <c r="B119" s="22" t="s">
        <v>433</v>
      </c>
      <c r="C119" s="22" t="s">
        <v>428</v>
      </c>
    </row>
    <row r="120" spans="1:3" s="44" customFormat="1" ht="17.25" customHeight="1">
      <c r="A120" s="22" t="s">
        <v>436</v>
      </c>
      <c r="B120" s="22" t="s">
        <v>437</v>
      </c>
      <c r="C120" s="22" t="s">
        <v>428</v>
      </c>
    </row>
    <row r="121" spans="1:3" s="44" customFormat="1" ht="17.25" customHeight="1">
      <c r="A121" s="22" t="s">
        <v>439</v>
      </c>
      <c r="B121" s="22" t="s">
        <v>440</v>
      </c>
      <c r="C121" s="22" t="s">
        <v>428</v>
      </c>
    </row>
    <row r="122" spans="1:3" s="44" customFormat="1" ht="17.25" customHeight="1">
      <c r="A122" s="22" t="s">
        <v>443</v>
      </c>
      <c r="B122" s="22" t="s">
        <v>444</v>
      </c>
      <c r="C122" s="22" t="s">
        <v>428</v>
      </c>
    </row>
    <row r="123" spans="1:3" s="44" customFormat="1" ht="17.25" customHeight="1">
      <c r="A123" s="22" t="s">
        <v>447</v>
      </c>
      <c r="B123" s="22" t="s">
        <v>448</v>
      </c>
      <c r="C123" s="22" t="s">
        <v>428</v>
      </c>
    </row>
    <row r="124" spans="1:3" s="44" customFormat="1" ht="17.25" customHeight="1">
      <c r="A124" s="22" t="s">
        <v>450</v>
      </c>
      <c r="B124" s="22" t="s">
        <v>451</v>
      </c>
      <c r="C124" s="22" t="s">
        <v>428</v>
      </c>
    </row>
    <row r="125" spans="1:3" s="44" customFormat="1" ht="17.25" customHeight="1">
      <c r="A125" s="22" t="s">
        <v>452</v>
      </c>
      <c r="B125" s="22" t="s">
        <v>453</v>
      </c>
      <c r="C125" s="22" t="s">
        <v>428</v>
      </c>
    </row>
    <row r="126" spans="1:3" s="44" customFormat="1" ht="17.25" customHeight="1">
      <c r="A126" s="22" t="s">
        <v>454</v>
      </c>
      <c r="B126" s="22" t="s">
        <v>455</v>
      </c>
      <c r="C126" s="22" t="s">
        <v>428</v>
      </c>
    </row>
    <row r="127" spans="1:3" s="44" customFormat="1" ht="17.25" customHeight="1">
      <c r="A127" s="22" t="s">
        <v>456</v>
      </c>
      <c r="B127" s="22" t="s">
        <v>457</v>
      </c>
      <c r="C127" s="22" t="s">
        <v>428</v>
      </c>
    </row>
    <row r="128" spans="1:3" s="49" customFormat="1" ht="17.25" customHeight="1">
      <c r="A128" s="22" t="s">
        <v>458</v>
      </c>
      <c r="B128" s="22" t="s">
        <v>459</v>
      </c>
      <c r="C128" s="22" t="s">
        <v>460</v>
      </c>
    </row>
    <row r="129" spans="1:4" s="49" customFormat="1" ht="17.25" customHeight="1">
      <c r="A129" s="22" t="s">
        <v>461</v>
      </c>
      <c r="B129" s="22" t="s">
        <v>462</v>
      </c>
      <c r="C129" s="22" t="s">
        <v>460</v>
      </c>
    </row>
    <row r="130" spans="1:4" s="49" customFormat="1" ht="17.25" customHeight="1">
      <c r="A130" s="22" t="s">
        <v>464</v>
      </c>
      <c r="B130" s="22" t="s">
        <v>465</v>
      </c>
      <c r="C130" s="22" t="s">
        <v>460</v>
      </c>
    </row>
    <row r="131" spans="1:4" s="49" customFormat="1" ht="17.25" customHeight="1">
      <c r="A131" s="22" t="s">
        <v>466</v>
      </c>
      <c r="B131" s="22" t="s">
        <v>467</v>
      </c>
      <c r="C131" s="22" t="s">
        <v>460</v>
      </c>
    </row>
    <row r="132" spans="1:4" s="49" customFormat="1" ht="17.25" customHeight="1">
      <c r="A132" s="22" t="s">
        <v>469</v>
      </c>
      <c r="B132" s="22" t="s">
        <v>470</v>
      </c>
      <c r="C132" s="22" t="s">
        <v>460</v>
      </c>
    </row>
    <row r="133" spans="1:4" s="49" customFormat="1" ht="17.25" customHeight="1">
      <c r="A133" s="22" t="s">
        <v>471</v>
      </c>
      <c r="B133" s="22" t="s">
        <v>472</v>
      </c>
      <c r="C133" s="22" t="s">
        <v>460</v>
      </c>
    </row>
    <row r="134" spans="1:4" s="49" customFormat="1" ht="17.25" customHeight="1">
      <c r="A134" s="22" t="s">
        <v>473</v>
      </c>
      <c r="B134" s="22" t="s">
        <v>474</v>
      </c>
      <c r="C134" s="22" t="s">
        <v>460</v>
      </c>
    </row>
    <row r="135" spans="1:4" s="44" customFormat="1" ht="17.25" customHeight="1">
      <c r="A135" s="22" t="s">
        <v>475</v>
      </c>
      <c r="B135" s="22" t="s">
        <v>476</v>
      </c>
      <c r="C135" s="22" t="s">
        <v>477</v>
      </c>
    </row>
    <row r="136" spans="1:4" s="44" customFormat="1" ht="17.25" customHeight="1">
      <c r="A136" s="22" t="s">
        <v>480</v>
      </c>
      <c r="B136" s="22" t="s">
        <v>481</v>
      </c>
      <c r="C136" s="22" t="s">
        <v>477</v>
      </c>
    </row>
    <row r="137" spans="1:4" s="44" customFormat="1" ht="17.25" customHeight="1">
      <c r="A137" s="22" t="s">
        <v>482</v>
      </c>
      <c r="B137" s="22" t="s">
        <v>483</v>
      </c>
      <c r="C137" s="22" t="s">
        <v>484</v>
      </c>
    </row>
    <row r="138" spans="1:4" s="44" customFormat="1" ht="17.25" customHeight="1">
      <c r="A138" s="22" t="s">
        <v>486</v>
      </c>
      <c r="B138" s="22" t="s">
        <v>487</v>
      </c>
      <c r="C138" s="22" t="s">
        <v>484</v>
      </c>
    </row>
    <row r="139" spans="1:4" s="44" customFormat="1" ht="17.25" customHeight="1">
      <c r="A139" s="22" t="s">
        <v>489</v>
      </c>
      <c r="B139" s="22" t="s">
        <v>490</v>
      </c>
      <c r="C139" s="22" t="s">
        <v>484</v>
      </c>
    </row>
    <row r="140" spans="1:4" s="44" customFormat="1" ht="17.25" customHeight="1">
      <c r="A140" s="22" t="s">
        <v>491</v>
      </c>
      <c r="B140" s="22" t="s">
        <v>492</v>
      </c>
      <c r="C140" s="22" t="s">
        <v>484</v>
      </c>
    </row>
    <row r="141" spans="1:4" s="44" customFormat="1" ht="17.25" customHeight="1">
      <c r="A141" s="22" t="s">
        <v>493</v>
      </c>
      <c r="B141" s="22" t="s">
        <v>494</v>
      </c>
      <c r="C141" s="22" t="s">
        <v>484</v>
      </c>
    </row>
    <row r="142" spans="1:4" s="44" customFormat="1" ht="17.25" customHeight="1">
      <c r="A142" s="22" t="s">
        <v>496</v>
      </c>
      <c r="B142" s="22" t="s">
        <v>497</v>
      </c>
      <c r="C142" s="22" t="s">
        <v>484</v>
      </c>
    </row>
    <row r="143" spans="1:4" s="44" customFormat="1" ht="17.25" customHeight="1">
      <c r="A143" s="22" t="s">
        <v>499</v>
      </c>
      <c r="B143" s="22" t="s">
        <v>500</v>
      </c>
      <c r="C143" s="22" t="s">
        <v>403</v>
      </c>
    </row>
    <row r="144" spans="1:4" s="44" customFormat="1" ht="17.25" customHeight="1">
      <c r="A144" s="22" t="s">
        <v>502</v>
      </c>
      <c r="B144" s="22" t="s">
        <v>503</v>
      </c>
      <c r="C144" s="22" t="s">
        <v>403</v>
      </c>
      <c r="D144" s="50"/>
    </row>
    <row r="145" spans="1:4" s="44" customFormat="1" ht="17.25" customHeight="1">
      <c r="A145" s="22" t="s">
        <v>504</v>
      </c>
      <c r="B145" s="22" t="s">
        <v>505</v>
      </c>
      <c r="C145" s="22" t="s">
        <v>403</v>
      </c>
      <c r="D145" s="50"/>
    </row>
    <row r="146" spans="1:4" s="44" customFormat="1" ht="17.25" customHeight="1">
      <c r="A146" s="22" t="s">
        <v>507</v>
      </c>
      <c r="B146" s="22" t="s">
        <v>508</v>
      </c>
      <c r="C146" s="22" t="s">
        <v>403</v>
      </c>
      <c r="D146" s="50"/>
    </row>
    <row r="147" spans="1:4" s="44" customFormat="1" ht="17.25" customHeight="1">
      <c r="A147" s="22" t="s">
        <v>509</v>
      </c>
      <c r="B147" s="22" t="s">
        <v>510</v>
      </c>
      <c r="C147" s="22" t="s">
        <v>403</v>
      </c>
      <c r="D147" s="50"/>
    </row>
    <row r="148" spans="1:4" s="49" customFormat="1" ht="17.25" customHeight="1">
      <c r="A148" s="22" t="s">
        <v>513</v>
      </c>
      <c r="B148" s="22" t="s">
        <v>594</v>
      </c>
      <c r="C148" s="22" t="s">
        <v>515</v>
      </c>
      <c r="D148" s="50"/>
    </row>
    <row r="149" spans="1:4" s="49" customFormat="1" ht="17.25" customHeight="1">
      <c r="A149" s="22" t="s">
        <v>517</v>
      </c>
      <c r="B149" s="22" t="s">
        <v>744</v>
      </c>
      <c r="C149" s="22" t="s">
        <v>515</v>
      </c>
      <c r="D149" s="50"/>
    </row>
    <row r="150" spans="1:4" s="49" customFormat="1" ht="17.25" customHeight="1">
      <c r="A150" s="22" t="s">
        <v>523</v>
      </c>
      <c r="B150" s="22" t="s">
        <v>746</v>
      </c>
      <c r="C150" s="22" t="s">
        <v>515</v>
      </c>
      <c r="D150" s="50"/>
    </row>
    <row r="151" spans="1:4" s="49" customFormat="1" ht="17.25" customHeight="1">
      <c r="A151" s="22" t="s">
        <v>525</v>
      </c>
      <c r="B151" s="22" t="s">
        <v>748</v>
      </c>
      <c r="C151" s="22" t="s">
        <v>515</v>
      </c>
      <c r="D151" s="50"/>
    </row>
    <row r="152" spans="1:4" s="49" customFormat="1" ht="17.25" customHeight="1">
      <c r="A152" s="22" t="s">
        <v>527</v>
      </c>
      <c r="B152" s="22" t="s">
        <v>750</v>
      </c>
      <c r="C152" s="22" t="s">
        <v>515</v>
      </c>
      <c r="D152" s="50"/>
    </row>
    <row r="153" spans="1:4" s="49" customFormat="1" ht="17.25" customHeight="1">
      <c r="A153" s="22" t="s">
        <v>530</v>
      </c>
      <c r="B153" s="22" t="s">
        <v>751</v>
      </c>
      <c r="C153" s="22" t="s">
        <v>515</v>
      </c>
      <c r="D153" s="50"/>
    </row>
    <row r="154" spans="1:4" s="49" customFormat="1" ht="17.25" customHeight="1">
      <c r="A154" s="22" t="s">
        <v>533</v>
      </c>
      <c r="B154" s="22" t="s">
        <v>595</v>
      </c>
      <c r="C154" s="22" t="s">
        <v>515</v>
      </c>
      <c r="D154" s="50"/>
    </row>
    <row r="155" spans="1:4" s="44" customFormat="1" ht="17.25" customHeight="1">
      <c r="A155" s="22" t="s">
        <v>536</v>
      </c>
      <c r="B155" s="22" t="s">
        <v>754</v>
      </c>
      <c r="C155" s="22" t="s">
        <v>538</v>
      </c>
      <c r="D155" s="50"/>
    </row>
    <row r="156" spans="1:4" s="44" customFormat="1" ht="17.25" customHeight="1">
      <c r="A156" s="22" t="s">
        <v>541</v>
      </c>
      <c r="B156" s="22" t="s">
        <v>596</v>
      </c>
      <c r="C156" s="22" t="s">
        <v>538</v>
      </c>
      <c r="D156" s="50"/>
    </row>
    <row r="157" spans="1:4" s="44" customFormat="1" ht="17.25" customHeight="1">
      <c r="A157" s="22" t="s">
        <v>544</v>
      </c>
      <c r="B157" s="22" t="s">
        <v>597</v>
      </c>
      <c r="C157" s="22" t="s">
        <v>538</v>
      </c>
      <c r="D157" s="50"/>
    </row>
    <row r="158" spans="1:4" s="44" customFormat="1" ht="17.25" customHeight="1">
      <c r="A158" s="22" t="s">
        <v>547</v>
      </c>
      <c r="B158" s="22" t="s">
        <v>758</v>
      </c>
      <c r="C158" s="22" t="s">
        <v>538</v>
      </c>
      <c r="D158" s="50"/>
    </row>
    <row r="159" spans="1:4" s="44" customFormat="1" ht="17.25" customHeight="1">
      <c r="A159" s="22" t="s">
        <v>549</v>
      </c>
      <c r="B159" s="22" t="s">
        <v>760</v>
      </c>
      <c r="C159" s="22" t="s">
        <v>538</v>
      </c>
      <c r="D159" s="50"/>
    </row>
    <row r="160" spans="1:4" s="44" customFormat="1" ht="17.25" customHeight="1">
      <c r="A160" s="22" t="s">
        <v>551</v>
      </c>
      <c r="B160" s="22" t="s">
        <v>598</v>
      </c>
      <c r="C160" s="22" t="s">
        <v>538</v>
      </c>
    </row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</sheetData>
  <autoFilter ref="A1:C1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R1001"/>
  <sheetViews>
    <sheetView workbookViewId="0"/>
  </sheetViews>
  <sheetFormatPr defaultColWidth="14.44140625" defaultRowHeight="15" customHeight="1"/>
  <cols>
    <col min="1" max="1" width="17.5546875" customWidth="1"/>
    <col min="2" max="2" width="38.44140625" customWidth="1"/>
    <col min="6" max="6" width="18" customWidth="1"/>
    <col min="7" max="7" width="17.6640625" customWidth="1"/>
    <col min="8" max="10" width="21.109375" customWidth="1"/>
    <col min="11" max="12" width="9.6640625" customWidth="1"/>
    <col min="13" max="13" width="9.88671875" customWidth="1"/>
    <col min="14" max="24" width="12.44140625" customWidth="1"/>
    <col min="27" max="27" width="30.88671875" customWidth="1"/>
    <col min="28" max="28" width="21.6640625" customWidth="1"/>
    <col min="29" max="29" width="17.88671875" customWidth="1"/>
    <col min="31" max="31" width="18.6640625" customWidth="1"/>
    <col min="32" max="32" width="14.6640625" customWidth="1"/>
    <col min="33" max="33" width="12.44140625" customWidth="1"/>
    <col min="36" max="36" width="18.33203125" customWidth="1"/>
  </cols>
  <sheetData>
    <row r="1" spans="1:44" ht="14.4">
      <c r="A1" s="58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60"/>
      <c r="Z1" s="64" t="s">
        <v>0</v>
      </c>
      <c r="AA1" s="56"/>
      <c r="AB1" s="65" t="s">
        <v>1</v>
      </c>
      <c r="AC1" s="56"/>
      <c r="AD1" s="65" t="s">
        <v>2</v>
      </c>
      <c r="AE1" s="56"/>
      <c r="AF1" s="54" t="s">
        <v>599</v>
      </c>
      <c r="AG1" s="55"/>
      <c r="AH1" s="55"/>
      <c r="AI1" s="56"/>
      <c r="AJ1" s="11"/>
    </row>
    <row r="2" spans="1:44" ht="12" customHeight="1">
      <c r="A2" s="61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3"/>
      <c r="Z2" s="12"/>
      <c r="AA2" s="13"/>
      <c r="AB2" s="14"/>
      <c r="AC2" s="14"/>
      <c r="AD2" s="15"/>
      <c r="AE2" s="15"/>
      <c r="AF2" s="16">
        <f>SUBTOTAL(9,AF4:AF162)</f>
        <v>4388.4200300000002</v>
      </c>
      <c r="AG2" s="12"/>
      <c r="AH2" s="12"/>
      <c r="AI2" s="16">
        <f>SUBTOTAL(9,AI4:AI162)</f>
        <v>27554.320029999948</v>
      </c>
      <c r="AJ2" s="17"/>
      <c r="AK2" s="53"/>
      <c r="AL2" s="53"/>
      <c r="AM2" s="53"/>
      <c r="AN2" s="53"/>
      <c r="AO2" s="53"/>
      <c r="AP2" s="53"/>
      <c r="AQ2" s="53"/>
      <c r="AR2" s="53"/>
    </row>
    <row r="3" spans="1:44" ht="45.75" customHeight="1">
      <c r="A3" s="2" t="s">
        <v>3</v>
      </c>
      <c r="B3" s="2" t="s">
        <v>4</v>
      </c>
      <c r="C3" s="2" t="s">
        <v>555</v>
      </c>
      <c r="D3" s="2" t="s">
        <v>6</v>
      </c>
      <c r="E3" s="2" t="s">
        <v>5</v>
      </c>
      <c r="F3" s="2" t="s">
        <v>7</v>
      </c>
      <c r="G3" s="2" t="s">
        <v>600</v>
      </c>
      <c r="H3" s="2" t="s">
        <v>8</v>
      </c>
      <c r="I3" s="2" t="s">
        <v>9</v>
      </c>
      <c r="J3" s="18" t="s">
        <v>601</v>
      </c>
      <c r="K3" s="18" t="s">
        <v>602</v>
      </c>
      <c r="L3" s="18" t="s">
        <v>603</v>
      </c>
      <c r="M3" s="2" t="s">
        <v>555</v>
      </c>
      <c r="N3" s="2" t="s">
        <v>10</v>
      </c>
      <c r="O3" s="2" t="s">
        <v>11</v>
      </c>
      <c r="P3" s="2" t="s">
        <v>12</v>
      </c>
      <c r="Q3" s="2" t="s">
        <v>13</v>
      </c>
      <c r="R3" s="2" t="s">
        <v>14</v>
      </c>
      <c r="S3" s="2" t="s">
        <v>15</v>
      </c>
      <c r="T3" s="2" t="s">
        <v>16</v>
      </c>
      <c r="U3" s="2" t="s">
        <v>17</v>
      </c>
      <c r="V3" s="2" t="s">
        <v>18</v>
      </c>
      <c r="W3" s="2" t="s">
        <v>19</v>
      </c>
      <c r="X3" s="18" t="s">
        <v>604</v>
      </c>
      <c r="Y3" s="18" t="s">
        <v>605</v>
      </c>
      <c r="Z3" s="18" t="s">
        <v>606</v>
      </c>
      <c r="AA3" s="2" t="s">
        <v>20</v>
      </c>
      <c r="AB3" s="19" t="s">
        <v>607</v>
      </c>
      <c r="AC3" s="19" t="s">
        <v>608</v>
      </c>
      <c r="AD3" s="20" t="s">
        <v>609</v>
      </c>
      <c r="AE3" s="20" t="s">
        <v>610</v>
      </c>
      <c r="AF3" s="2" t="s">
        <v>611</v>
      </c>
      <c r="AG3" s="18" t="s">
        <v>612</v>
      </c>
      <c r="AH3" s="21" t="s">
        <v>613</v>
      </c>
      <c r="AI3" s="18" t="s">
        <v>614</v>
      </c>
      <c r="AJ3" s="36" t="s">
        <v>763</v>
      </c>
    </row>
    <row r="4" spans="1:44" ht="14.4">
      <c r="A4" s="22" t="s">
        <v>21</v>
      </c>
      <c r="B4" s="22" t="s">
        <v>22</v>
      </c>
      <c r="C4" s="23" t="s">
        <v>556</v>
      </c>
      <c r="D4" s="23" t="s">
        <v>24</v>
      </c>
      <c r="E4" s="22" t="s">
        <v>23</v>
      </c>
      <c r="F4" s="23" t="s">
        <v>25</v>
      </c>
      <c r="G4" s="23" t="s">
        <v>615</v>
      </c>
      <c r="H4" s="22" t="s">
        <v>25</v>
      </c>
      <c r="I4" s="23" t="s">
        <v>26</v>
      </c>
      <c r="J4" s="23" t="s">
        <v>27</v>
      </c>
      <c r="K4" s="22" t="s">
        <v>28</v>
      </c>
      <c r="L4" s="22" t="s">
        <v>29</v>
      </c>
      <c r="M4" s="22" t="s">
        <v>616</v>
      </c>
      <c r="N4" s="22" t="s">
        <v>30</v>
      </c>
      <c r="O4" s="22">
        <v>0.06</v>
      </c>
      <c r="P4" s="22">
        <v>140</v>
      </c>
      <c r="Q4" s="22" t="s">
        <v>31</v>
      </c>
      <c r="R4" s="22">
        <v>100</v>
      </c>
      <c r="S4" s="22">
        <v>8.5999999999999998E-4</v>
      </c>
      <c r="T4" s="22">
        <v>30</v>
      </c>
      <c r="U4" s="22">
        <v>20</v>
      </c>
      <c r="V4" s="22">
        <v>8</v>
      </c>
      <c r="W4" s="23">
        <v>12</v>
      </c>
      <c r="X4" s="24">
        <v>1.2</v>
      </c>
      <c r="Y4" s="23">
        <v>14.4</v>
      </c>
      <c r="Z4" s="25">
        <v>179</v>
      </c>
      <c r="AA4" s="45" t="s">
        <v>617</v>
      </c>
      <c r="AB4" s="23" t="s">
        <v>32</v>
      </c>
      <c r="AC4" s="23" t="s">
        <v>32</v>
      </c>
      <c r="AD4" s="26">
        <v>7.99</v>
      </c>
      <c r="AE4" s="45" t="s">
        <v>33</v>
      </c>
      <c r="AF4" s="37">
        <v>2.7278600000000002</v>
      </c>
      <c r="AG4" s="27">
        <f t="shared" ref="AG4:AG162" si="0">AF4/W4</f>
        <v>0.22732166666666667</v>
      </c>
      <c r="AH4" s="27">
        <f t="shared" ref="AH4:AH162" si="1">X4+AG4</f>
        <v>1.4273216666666666</v>
      </c>
      <c r="AI4" s="23">
        <f t="shared" ref="AI4:AI162" si="2">AH4*W4</f>
        <v>17.127859999999998</v>
      </c>
      <c r="AJ4" s="38">
        <f>AD4*95%</f>
        <v>7.5904999999999996</v>
      </c>
    </row>
    <row r="5" spans="1:44" ht="14.4">
      <c r="A5" s="22" t="s">
        <v>34</v>
      </c>
      <c r="B5" s="22" t="s">
        <v>35</v>
      </c>
      <c r="C5" s="23" t="s">
        <v>557</v>
      </c>
      <c r="D5" s="23" t="s">
        <v>24</v>
      </c>
      <c r="E5" s="22" t="s">
        <v>23</v>
      </c>
      <c r="F5" s="23" t="s">
        <v>25</v>
      </c>
      <c r="G5" s="23" t="s">
        <v>615</v>
      </c>
      <c r="H5" s="22" t="s">
        <v>25</v>
      </c>
      <c r="I5" s="23" t="s">
        <v>26</v>
      </c>
      <c r="J5" s="23" t="s">
        <v>36</v>
      </c>
      <c r="K5" s="22" t="s">
        <v>28</v>
      </c>
      <c r="L5" s="22" t="s">
        <v>29</v>
      </c>
      <c r="M5" s="22" t="s">
        <v>616</v>
      </c>
      <c r="N5" s="22" t="s">
        <v>30</v>
      </c>
      <c r="O5" s="22">
        <v>5.3999999999999999E-2</v>
      </c>
      <c r="P5" s="22">
        <v>135</v>
      </c>
      <c r="Q5" s="22" t="s">
        <v>31</v>
      </c>
      <c r="R5" s="22">
        <v>100</v>
      </c>
      <c r="S5" s="22">
        <v>8.5999999999999998E-4</v>
      </c>
      <c r="T5" s="22">
        <v>30</v>
      </c>
      <c r="U5" s="22">
        <v>20</v>
      </c>
      <c r="V5" s="22">
        <v>8</v>
      </c>
      <c r="W5" s="23">
        <v>12</v>
      </c>
      <c r="X5" s="24">
        <v>1.2</v>
      </c>
      <c r="Y5" s="23">
        <v>14.4</v>
      </c>
      <c r="Z5" s="25">
        <v>179</v>
      </c>
      <c r="AA5" s="46" t="s">
        <v>37</v>
      </c>
      <c r="AB5" s="23" t="s">
        <v>32</v>
      </c>
      <c r="AC5" s="23" t="s">
        <v>32</v>
      </c>
      <c r="AD5" s="23"/>
      <c r="AE5" s="33"/>
      <c r="AF5" s="37">
        <v>2.7278600000000002</v>
      </c>
      <c r="AG5" s="27">
        <f t="shared" si="0"/>
        <v>0.22732166666666667</v>
      </c>
      <c r="AH5" s="27">
        <f t="shared" si="1"/>
        <v>1.4273216666666666</v>
      </c>
      <c r="AI5" s="23">
        <f t="shared" si="2"/>
        <v>17.127859999999998</v>
      </c>
      <c r="AJ5" s="33"/>
    </row>
    <row r="6" spans="1:44" ht="14.4">
      <c r="A6" s="22" t="s">
        <v>38</v>
      </c>
      <c r="B6" s="22" t="s">
        <v>39</v>
      </c>
      <c r="C6" s="23" t="s">
        <v>558</v>
      </c>
      <c r="D6" s="23" t="s">
        <v>24</v>
      </c>
      <c r="E6" s="22" t="s">
        <v>23</v>
      </c>
      <c r="F6" s="23" t="s">
        <v>40</v>
      </c>
      <c r="G6" s="23" t="s">
        <v>615</v>
      </c>
      <c r="H6" s="22" t="s">
        <v>40</v>
      </c>
      <c r="I6" s="23" t="s">
        <v>41</v>
      </c>
      <c r="J6" s="23" t="s">
        <v>42</v>
      </c>
      <c r="K6" s="22" t="s">
        <v>28</v>
      </c>
      <c r="L6" s="22" t="s">
        <v>29</v>
      </c>
      <c r="M6" s="22" t="s">
        <v>616</v>
      </c>
      <c r="N6" s="22" t="s">
        <v>30</v>
      </c>
      <c r="O6" s="22">
        <v>8.7999999999999995E-2</v>
      </c>
      <c r="P6" s="22">
        <v>185</v>
      </c>
      <c r="Q6" s="22" t="s">
        <v>31</v>
      </c>
      <c r="R6" s="22">
        <v>100</v>
      </c>
      <c r="S6" s="22">
        <v>8.5999999999999998E-4</v>
      </c>
      <c r="T6" s="22">
        <v>30</v>
      </c>
      <c r="U6" s="22">
        <v>20</v>
      </c>
      <c r="V6" s="22">
        <v>8</v>
      </c>
      <c r="W6" s="23">
        <v>12</v>
      </c>
      <c r="X6" s="24">
        <v>1.5</v>
      </c>
      <c r="Y6" s="23">
        <v>18</v>
      </c>
      <c r="Z6" s="25">
        <v>249</v>
      </c>
      <c r="AA6" s="46" t="s">
        <v>43</v>
      </c>
      <c r="AB6" s="23" t="s">
        <v>32</v>
      </c>
      <c r="AC6" s="23" t="s">
        <v>32</v>
      </c>
      <c r="AD6" s="23" t="s">
        <v>44</v>
      </c>
      <c r="AE6" s="22" t="s">
        <v>45</v>
      </c>
      <c r="AF6" s="37">
        <v>3.4098199999999999</v>
      </c>
      <c r="AG6" s="27">
        <f t="shared" si="0"/>
        <v>0.28415166666666664</v>
      </c>
      <c r="AH6" s="27">
        <f t="shared" si="1"/>
        <v>1.7841516666666666</v>
      </c>
      <c r="AI6" s="23">
        <f t="shared" si="2"/>
        <v>21.40982</v>
      </c>
      <c r="AJ6" s="33"/>
    </row>
    <row r="7" spans="1:44" ht="14.4">
      <c r="A7" s="22" t="s">
        <v>46</v>
      </c>
      <c r="B7" s="22" t="s">
        <v>47</v>
      </c>
      <c r="C7" s="23" t="s">
        <v>567</v>
      </c>
      <c r="D7" s="23" t="s">
        <v>24</v>
      </c>
      <c r="E7" s="22" t="s">
        <v>48</v>
      </c>
      <c r="F7" s="23" t="s">
        <v>618</v>
      </c>
      <c r="G7" s="23" t="s">
        <v>615</v>
      </c>
      <c r="H7" s="22" t="s">
        <v>619</v>
      </c>
      <c r="I7" s="23" t="s">
        <v>49</v>
      </c>
      <c r="J7" s="23" t="s">
        <v>50</v>
      </c>
      <c r="K7" s="22" t="s">
        <v>28</v>
      </c>
      <c r="L7" s="22" t="s">
        <v>51</v>
      </c>
      <c r="M7" s="22" t="s">
        <v>616</v>
      </c>
      <c r="N7" s="22" t="s">
        <v>30</v>
      </c>
      <c r="O7" s="22">
        <v>0.94199999999999995</v>
      </c>
      <c r="P7" s="22">
        <v>85</v>
      </c>
      <c r="Q7" s="22" t="s">
        <v>52</v>
      </c>
      <c r="R7" s="22">
        <v>15</v>
      </c>
      <c r="S7" s="22">
        <v>5.7000000000000002E-3</v>
      </c>
      <c r="T7" s="22">
        <v>87</v>
      </c>
      <c r="U7" s="22">
        <v>8</v>
      </c>
      <c r="V7" s="22">
        <v>8</v>
      </c>
      <c r="W7" s="23">
        <v>20</v>
      </c>
      <c r="X7" s="24">
        <v>13.8</v>
      </c>
      <c r="Y7" s="23">
        <v>276</v>
      </c>
      <c r="Z7" s="25">
        <v>1969</v>
      </c>
      <c r="AA7" s="46" t="s">
        <v>620</v>
      </c>
      <c r="AB7" s="23" t="s">
        <v>32</v>
      </c>
      <c r="AC7" s="23" t="s">
        <v>32</v>
      </c>
      <c r="AD7" s="26">
        <v>39.99</v>
      </c>
      <c r="AE7" s="45" t="s">
        <v>53</v>
      </c>
      <c r="AF7" s="37">
        <v>52.283909999999999</v>
      </c>
      <c r="AG7" s="27">
        <f t="shared" si="0"/>
        <v>2.6141955000000001</v>
      </c>
      <c r="AH7" s="27">
        <f t="shared" si="1"/>
        <v>16.414195500000002</v>
      </c>
      <c r="AI7" s="23">
        <f t="shared" si="2"/>
        <v>328.28391000000005</v>
      </c>
      <c r="AJ7" s="33"/>
    </row>
    <row r="8" spans="1:44" ht="14.4">
      <c r="A8" s="22" t="s">
        <v>54</v>
      </c>
      <c r="B8" s="22" t="s">
        <v>55</v>
      </c>
      <c r="C8" s="23" t="s">
        <v>558</v>
      </c>
      <c r="D8" s="23" t="s">
        <v>24</v>
      </c>
      <c r="E8" s="22" t="s">
        <v>56</v>
      </c>
      <c r="F8" s="23" t="s">
        <v>57</v>
      </c>
      <c r="G8" s="23" t="s">
        <v>615</v>
      </c>
      <c r="H8" s="22" t="s">
        <v>58</v>
      </c>
      <c r="I8" s="23" t="s">
        <v>59</v>
      </c>
      <c r="J8" s="23" t="s">
        <v>42</v>
      </c>
      <c r="K8" s="22" t="s">
        <v>28</v>
      </c>
      <c r="L8" s="22" t="s">
        <v>51</v>
      </c>
      <c r="M8" s="22" t="s">
        <v>616</v>
      </c>
      <c r="N8" s="22" t="s">
        <v>30</v>
      </c>
      <c r="O8" s="22">
        <v>0.182</v>
      </c>
      <c r="P8" s="22">
        <v>22</v>
      </c>
      <c r="Q8" s="22" t="s">
        <v>52</v>
      </c>
      <c r="R8" s="22">
        <v>120</v>
      </c>
      <c r="S8" s="22">
        <v>5.5000000000000003E-4</v>
      </c>
      <c r="T8" s="22">
        <v>20</v>
      </c>
      <c r="U8" s="22">
        <v>13</v>
      </c>
      <c r="V8" s="22">
        <v>8</v>
      </c>
      <c r="W8" s="23">
        <v>24</v>
      </c>
      <c r="X8" s="24">
        <v>2.4</v>
      </c>
      <c r="Y8" s="23">
        <v>57.6</v>
      </c>
      <c r="Z8" s="25">
        <v>339</v>
      </c>
      <c r="AA8" s="46" t="s">
        <v>621</v>
      </c>
      <c r="AB8" s="23" t="s">
        <v>32</v>
      </c>
      <c r="AC8" s="23" t="s">
        <v>32</v>
      </c>
      <c r="AD8" s="26">
        <v>12.99</v>
      </c>
      <c r="AE8" s="45" t="s">
        <v>60</v>
      </c>
      <c r="AF8" s="37">
        <v>10.911429999999999</v>
      </c>
      <c r="AG8" s="27">
        <f t="shared" si="0"/>
        <v>0.45464291666666662</v>
      </c>
      <c r="AH8" s="27">
        <f t="shared" si="1"/>
        <v>2.8546429166666667</v>
      </c>
      <c r="AI8" s="23">
        <f t="shared" si="2"/>
        <v>68.511430000000004</v>
      </c>
      <c r="AJ8" s="33"/>
    </row>
    <row r="9" spans="1:44" ht="14.4">
      <c r="A9" s="22" t="s">
        <v>61</v>
      </c>
      <c r="B9" s="22" t="s">
        <v>62</v>
      </c>
      <c r="C9" s="23" t="s">
        <v>559</v>
      </c>
      <c r="D9" s="23" t="s">
        <v>24</v>
      </c>
      <c r="E9" s="22" t="s">
        <v>63</v>
      </c>
      <c r="F9" s="23" t="s">
        <v>63</v>
      </c>
      <c r="G9" s="23" t="s">
        <v>615</v>
      </c>
      <c r="H9" s="22" t="s">
        <v>63</v>
      </c>
      <c r="I9" s="23" t="s">
        <v>26</v>
      </c>
      <c r="J9" s="23" t="s">
        <v>64</v>
      </c>
      <c r="K9" s="22" t="s">
        <v>28</v>
      </c>
      <c r="L9" s="22" t="s">
        <v>51</v>
      </c>
      <c r="M9" s="22" t="s">
        <v>616</v>
      </c>
      <c r="N9" s="22" t="s">
        <v>30</v>
      </c>
      <c r="O9" s="22">
        <v>0.04</v>
      </c>
      <c r="P9" s="22">
        <v>0</v>
      </c>
      <c r="Q9" s="22">
        <v>0</v>
      </c>
      <c r="R9" s="22">
        <v>100</v>
      </c>
      <c r="S9" s="22">
        <v>4.4999999999999999E-4</v>
      </c>
      <c r="T9" s="22">
        <v>16</v>
      </c>
      <c r="U9" s="22">
        <v>10</v>
      </c>
      <c r="V9" s="22">
        <v>2</v>
      </c>
      <c r="W9" s="23">
        <v>10</v>
      </c>
      <c r="X9" s="24">
        <v>2.1</v>
      </c>
      <c r="Y9" s="23">
        <v>21</v>
      </c>
      <c r="Z9" s="25">
        <v>299</v>
      </c>
      <c r="AA9" s="46" t="s">
        <v>622</v>
      </c>
      <c r="AB9" s="23" t="s">
        <v>32</v>
      </c>
      <c r="AC9" s="23" t="s">
        <v>32</v>
      </c>
      <c r="AD9" s="23" t="s">
        <v>44</v>
      </c>
      <c r="AE9" s="22" t="s">
        <v>44</v>
      </c>
      <c r="AF9" s="37">
        <v>3.9781200000000001</v>
      </c>
      <c r="AG9" s="27">
        <f t="shared" si="0"/>
        <v>0.397812</v>
      </c>
      <c r="AH9" s="27">
        <f t="shared" si="1"/>
        <v>2.4978120000000001</v>
      </c>
      <c r="AI9" s="23">
        <f t="shared" si="2"/>
        <v>24.978120000000001</v>
      </c>
      <c r="AJ9" s="33"/>
    </row>
    <row r="10" spans="1:44" ht="15.75" customHeight="1">
      <c r="A10" s="22" t="s">
        <v>65</v>
      </c>
      <c r="B10" s="22" t="s">
        <v>66</v>
      </c>
      <c r="C10" s="23" t="s">
        <v>559</v>
      </c>
      <c r="D10" s="23" t="s">
        <v>24</v>
      </c>
      <c r="E10" s="22" t="s">
        <v>67</v>
      </c>
      <c r="F10" s="23" t="s">
        <v>68</v>
      </c>
      <c r="G10" s="23" t="s">
        <v>615</v>
      </c>
      <c r="H10" s="22" t="s">
        <v>69</v>
      </c>
      <c r="I10" s="23" t="s">
        <v>49</v>
      </c>
      <c r="J10" s="23" t="s">
        <v>70</v>
      </c>
      <c r="K10" s="22" t="s">
        <v>28</v>
      </c>
      <c r="L10" s="22" t="s">
        <v>51</v>
      </c>
      <c r="M10" s="22" t="s">
        <v>616</v>
      </c>
      <c r="N10" s="22" t="s">
        <v>30</v>
      </c>
      <c r="O10" s="22">
        <v>0.1</v>
      </c>
      <c r="P10" s="22">
        <v>0</v>
      </c>
      <c r="Q10" s="22">
        <v>0</v>
      </c>
      <c r="R10" s="22">
        <v>100</v>
      </c>
      <c r="S10" s="22">
        <v>6.6E-4</v>
      </c>
      <c r="T10" s="22">
        <v>40</v>
      </c>
      <c r="U10" s="22">
        <v>16</v>
      </c>
      <c r="V10" s="22">
        <v>3</v>
      </c>
      <c r="W10" s="23">
        <v>10</v>
      </c>
      <c r="X10" s="24">
        <v>2</v>
      </c>
      <c r="Y10" s="23">
        <v>20</v>
      </c>
      <c r="Z10" s="25">
        <v>279</v>
      </c>
      <c r="AA10" s="46" t="s">
        <v>623</v>
      </c>
      <c r="AB10" s="29">
        <v>8</v>
      </c>
      <c r="AC10" s="47" t="s">
        <v>764</v>
      </c>
      <c r="AD10" s="23"/>
      <c r="AE10" s="33"/>
      <c r="AF10" s="37">
        <v>3.7886899999999999</v>
      </c>
      <c r="AG10" s="27">
        <f t="shared" si="0"/>
        <v>0.37886900000000001</v>
      </c>
      <c r="AH10" s="27">
        <f t="shared" si="1"/>
        <v>2.3788689999999999</v>
      </c>
      <c r="AI10" s="23">
        <f t="shared" si="2"/>
        <v>23.788689999999999</v>
      </c>
      <c r="AJ10" s="33"/>
    </row>
    <row r="11" spans="1:44" ht="14.4">
      <c r="A11" s="22" t="s">
        <v>71</v>
      </c>
      <c r="B11" s="22" t="s">
        <v>72</v>
      </c>
      <c r="C11" s="23" t="s">
        <v>567</v>
      </c>
      <c r="D11" s="23" t="s">
        <v>24</v>
      </c>
      <c r="E11" s="22" t="s">
        <v>73</v>
      </c>
      <c r="F11" s="23" t="s">
        <v>74</v>
      </c>
      <c r="G11" s="23" t="s">
        <v>615</v>
      </c>
      <c r="H11" s="22" t="s">
        <v>75</v>
      </c>
      <c r="I11" s="23" t="s">
        <v>76</v>
      </c>
      <c r="J11" s="23" t="s">
        <v>50</v>
      </c>
      <c r="K11" s="22" t="s">
        <v>28</v>
      </c>
      <c r="L11" s="22" t="s">
        <v>51</v>
      </c>
      <c r="M11" s="22" t="s">
        <v>624</v>
      </c>
      <c r="N11" s="22" t="s">
        <v>77</v>
      </c>
      <c r="O11" s="22">
        <v>0.14000000000000001</v>
      </c>
      <c r="P11" s="22">
        <v>0</v>
      </c>
      <c r="Q11" s="22">
        <v>0</v>
      </c>
      <c r="R11" s="22">
        <v>150</v>
      </c>
      <c r="S11" s="22">
        <v>4.4000000000000002E-4</v>
      </c>
      <c r="T11" s="22">
        <v>40</v>
      </c>
      <c r="U11" s="22">
        <v>16</v>
      </c>
      <c r="V11" s="22">
        <v>2</v>
      </c>
      <c r="W11" s="23">
        <v>100</v>
      </c>
      <c r="X11" s="24">
        <v>3.9</v>
      </c>
      <c r="Y11" s="23">
        <v>390</v>
      </c>
      <c r="Z11" s="25">
        <v>549</v>
      </c>
      <c r="AA11" s="46" t="s">
        <v>625</v>
      </c>
      <c r="AB11" s="23" t="s">
        <v>32</v>
      </c>
      <c r="AC11" s="23" t="s">
        <v>32</v>
      </c>
      <c r="AD11" s="23" t="s">
        <v>44</v>
      </c>
      <c r="AE11" s="22" t="s">
        <v>45</v>
      </c>
      <c r="AF11" s="37">
        <v>73.879440000000002</v>
      </c>
      <c r="AG11" s="27">
        <f t="shared" si="0"/>
        <v>0.73879440000000007</v>
      </c>
      <c r="AH11" s="27">
        <f t="shared" si="1"/>
        <v>4.6387944000000001</v>
      </c>
      <c r="AI11" s="23">
        <f t="shared" si="2"/>
        <v>463.87943999999999</v>
      </c>
      <c r="AJ11" s="33"/>
    </row>
    <row r="12" spans="1:44" ht="14.4">
      <c r="A12" s="22" t="s">
        <v>78</v>
      </c>
      <c r="B12" s="22" t="s">
        <v>79</v>
      </c>
      <c r="C12" s="23" t="s">
        <v>567</v>
      </c>
      <c r="D12" s="23" t="s">
        <v>24</v>
      </c>
      <c r="E12" s="22" t="s">
        <v>73</v>
      </c>
      <c r="F12" s="23" t="s">
        <v>74</v>
      </c>
      <c r="G12" s="23" t="s">
        <v>615</v>
      </c>
      <c r="H12" s="22" t="s">
        <v>80</v>
      </c>
      <c r="I12" s="23" t="s">
        <v>76</v>
      </c>
      <c r="J12" s="23" t="s">
        <v>50</v>
      </c>
      <c r="K12" s="22" t="s">
        <v>28</v>
      </c>
      <c r="L12" s="22" t="s">
        <v>51</v>
      </c>
      <c r="M12" s="22" t="s">
        <v>616</v>
      </c>
      <c r="N12" s="22" t="s">
        <v>30</v>
      </c>
      <c r="O12" s="22">
        <v>5.6000000000000001E-2</v>
      </c>
      <c r="P12" s="22">
        <v>0</v>
      </c>
      <c r="Q12" s="22">
        <v>0</v>
      </c>
      <c r="R12" s="22">
        <v>250</v>
      </c>
      <c r="S12" s="22">
        <v>2.5999999999999998E-4</v>
      </c>
      <c r="T12" s="22">
        <v>40</v>
      </c>
      <c r="U12" s="22">
        <v>16</v>
      </c>
      <c r="V12" s="22">
        <v>2</v>
      </c>
      <c r="W12" s="23">
        <v>100</v>
      </c>
      <c r="X12" s="24">
        <v>1.5</v>
      </c>
      <c r="Y12" s="23">
        <v>150</v>
      </c>
      <c r="Z12" s="25">
        <v>199</v>
      </c>
      <c r="AA12" s="46" t="s">
        <v>626</v>
      </c>
      <c r="AB12" s="23" t="s">
        <v>32</v>
      </c>
      <c r="AC12" s="23" t="s">
        <v>32</v>
      </c>
      <c r="AD12" s="23" t="s">
        <v>44</v>
      </c>
      <c r="AE12" s="22" t="s">
        <v>45</v>
      </c>
      <c r="AF12" s="37">
        <v>28.41517</v>
      </c>
      <c r="AG12" s="27">
        <f t="shared" si="0"/>
        <v>0.28415170000000001</v>
      </c>
      <c r="AH12" s="27">
        <f t="shared" si="1"/>
        <v>1.7841517</v>
      </c>
      <c r="AI12" s="23">
        <f t="shared" si="2"/>
        <v>178.41516999999999</v>
      </c>
      <c r="AJ12" s="33"/>
    </row>
    <row r="13" spans="1:44" ht="14.4">
      <c r="A13" s="22" t="s">
        <v>81</v>
      </c>
      <c r="B13" s="22" t="s">
        <v>82</v>
      </c>
      <c r="C13" s="23" t="s">
        <v>559</v>
      </c>
      <c r="D13" s="23" t="s">
        <v>24</v>
      </c>
      <c r="E13" s="22" t="s">
        <v>83</v>
      </c>
      <c r="F13" s="23" t="s">
        <v>83</v>
      </c>
      <c r="G13" s="23" t="s">
        <v>615</v>
      </c>
      <c r="H13" s="22" t="s">
        <v>83</v>
      </c>
      <c r="I13" s="23" t="s">
        <v>26</v>
      </c>
      <c r="J13" s="23" t="s">
        <v>64</v>
      </c>
      <c r="K13" s="22" t="s">
        <v>28</v>
      </c>
      <c r="L13" s="22" t="s">
        <v>51</v>
      </c>
      <c r="M13" s="22" t="s">
        <v>627</v>
      </c>
      <c r="N13" s="22" t="s">
        <v>84</v>
      </c>
      <c r="O13" s="22">
        <v>0.67</v>
      </c>
      <c r="P13" s="22" t="s">
        <v>85</v>
      </c>
      <c r="Q13" s="22" t="s">
        <v>52</v>
      </c>
      <c r="R13" s="22">
        <v>10</v>
      </c>
      <c r="S13" s="22">
        <v>1.7950000000000001E-2</v>
      </c>
      <c r="T13" s="22">
        <v>74</v>
      </c>
      <c r="U13" s="22">
        <v>30</v>
      </c>
      <c r="V13" s="22">
        <v>10</v>
      </c>
      <c r="W13" s="23">
        <v>5</v>
      </c>
      <c r="X13" s="24">
        <v>9.6</v>
      </c>
      <c r="Y13" s="23">
        <v>48</v>
      </c>
      <c r="Z13" s="25">
        <v>1359</v>
      </c>
      <c r="AA13" s="45" t="s">
        <v>628</v>
      </c>
      <c r="AB13" s="23" t="s">
        <v>32</v>
      </c>
      <c r="AC13" s="23" t="s">
        <v>32</v>
      </c>
      <c r="AD13" s="23" t="s">
        <v>44</v>
      </c>
      <c r="AE13" s="22" t="s">
        <v>45</v>
      </c>
      <c r="AF13" s="37">
        <v>9.0928500000000003</v>
      </c>
      <c r="AG13" s="27">
        <f t="shared" si="0"/>
        <v>1.81857</v>
      </c>
      <c r="AH13" s="27">
        <f t="shared" si="1"/>
        <v>11.418569999999999</v>
      </c>
      <c r="AI13" s="23">
        <f t="shared" si="2"/>
        <v>57.092849999999999</v>
      </c>
      <c r="AJ13" s="33"/>
    </row>
    <row r="14" spans="1:44" ht="14.4">
      <c r="A14" s="22" t="s">
        <v>86</v>
      </c>
      <c r="B14" s="22" t="s">
        <v>87</v>
      </c>
      <c r="C14" s="23" t="s">
        <v>559</v>
      </c>
      <c r="D14" s="23" t="s">
        <v>24</v>
      </c>
      <c r="E14" s="22" t="s">
        <v>88</v>
      </c>
      <c r="F14" s="23" t="s">
        <v>89</v>
      </c>
      <c r="G14" s="23" t="s">
        <v>615</v>
      </c>
      <c r="H14" s="22" t="s">
        <v>89</v>
      </c>
      <c r="I14" s="23" t="s">
        <v>49</v>
      </c>
      <c r="J14" s="23" t="s">
        <v>64</v>
      </c>
      <c r="K14" s="22" t="s">
        <v>28</v>
      </c>
      <c r="L14" s="22" t="s">
        <v>51</v>
      </c>
      <c r="M14" s="22" t="s">
        <v>616</v>
      </c>
      <c r="N14" s="22" t="s">
        <v>30</v>
      </c>
      <c r="O14" s="22">
        <v>0.79200000000000004</v>
      </c>
      <c r="P14" s="22" t="s">
        <v>90</v>
      </c>
      <c r="Q14" s="22" t="s">
        <v>52</v>
      </c>
      <c r="R14" s="22">
        <v>15</v>
      </c>
      <c r="S14" s="22">
        <v>5.7000000000000002E-3</v>
      </c>
      <c r="T14" s="22">
        <v>71</v>
      </c>
      <c r="U14" s="22">
        <v>10</v>
      </c>
      <c r="V14" s="22">
        <v>8</v>
      </c>
      <c r="W14" s="23">
        <v>20</v>
      </c>
      <c r="X14" s="24">
        <v>11</v>
      </c>
      <c r="Y14" s="23">
        <v>220</v>
      </c>
      <c r="Z14" s="25">
        <v>1569</v>
      </c>
      <c r="AA14" s="46" t="s">
        <v>629</v>
      </c>
      <c r="AB14" s="23" t="s">
        <v>32</v>
      </c>
      <c r="AC14" s="23" t="s">
        <v>32</v>
      </c>
      <c r="AD14" s="23" t="s">
        <v>44</v>
      </c>
      <c r="AE14" s="22" t="s">
        <v>45</v>
      </c>
      <c r="AF14" s="37">
        <v>41.675579999999997</v>
      </c>
      <c r="AG14" s="27">
        <f t="shared" si="0"/>
        <v>2.0837789999999998</v>
      </c>
      <c r="AH14" s="27">
        <f t="shared" si="1"/>
        <v>13.083779</v>
      </c>
      <c r="AI14" s="23">
        <f t="shared" si="2"/>
        <v>261.67557999999997</v>
      </c>
      <c r="AJ14" s="33"/>
    </row>
    <row r="15" spans="1:44" ht="14.4">
      <c r="A15" s="22" t="s">
        <v>91</v>
      </c>
      <c r="B15" s="22" t="s">
        <v>92</v>
      </c>
      <c r="C15" s="23" t="s">
        <v>567</v>
      </c>
      <c r="D15" s="23" t="s">
        <v>24</v>
      </c>
      <c r="E15" s="22" t="s">
        <v>73</v>
      </c>
      <c r="F15" s="23" t="s">
        <v>93</v>
      </c>
      <c r="G15" s="23" t="s">
        <v>615</v>
      </c>
      <c r="H15" s="22" t="s">
        <v>94</v>
      </c>
      <c r="I15" s="23" t="s">
        <v>76</v>
      </c>
      <c r="J15" s="23" t="s">
        <v>50</v>
      </c>
      <c r="K15" s="22" t="s">
        <v>28</v>
      </c>
      <c r="L15" s="22" t="s">
        <v>51</v>
      </c>
      <c r="M15" s="22" t="s">
        <v>624</v>
      </c>
      <c r="N15" s="22" t="s">
        <v>77</v>
      </c>
      <c r="O15" s="22">
        <v>0.14000000000000001</v>
      </c>
      <c r="P15" s="22">
        <v>0</v>
      </c>
      <c r="Q15" s="22">
        <v>0</v>
      </c>
      <c r="R15" s="22">
        <v>250</v>
      </c>
      <c r="S15" s="22">
        <v>1.8000000000000001E-4</v>
      </c>
      <c r="T15" s="22">
        <v>40</v>
      </c>
      <c r="U15" s="22">
        <v>16</v>
      </c>
      <c r="V15" s="22">
        <v>2</v>
      </c>
      <c r="W15" s="23">
        <v>100</v>
      </c>
      <c r="X15" s="24">
        <v>4</v>
      </c>
      <c r="Y15" s="23">
        <v>400</v>
      </c>
      <c r="Z15" s="25">
        <v>509</v>
      </c>
      <c r="AA15" s="46" t="s">
        <v>630</v>
      </c>
      <c r="AB15" s="23" t="s">
        <v>32</v>
      </c>
      <c r="AC15" s="23" t="s">
        <v>32</v>
      </c>
      <c r="AD15" s="23" t="s">
        <v>44</v>
      </c>
      <c r="AE15" s="22" t="s">
        <v>45</v>
      </c>
      <c r="AF15" s="37">
        <v>75.773790000000005</v>
      </c>
      <c r="AG15" s="27">
        <f t="shared" si="0"/>
        <v>0.75773790000000008</v>
      </c>
      <c r="AH15" s="27">
        <f t="shared" si="1"/>
        <v>4.7577379000000004</v>
      </c>
      <c r="AI15" s="23">
        <f t="shared" si="2"/>
        <v>475.77379000000002</v>
      </c>
      <c r="AJ15" s="33"/>
    </row>
    <row r="16" spans="1:44" ht="14.4">
      <c r="A16" s="22" t="s">
        <v>95</v>
      </c>
      <c r="B16" s="22" t="s">
        <v>96</v>
      </c>
      <c r="C16" s="23" t="s">
        <v>567</v>
      </c>
      <c r="D16" s="23" t="s">
        <v>24</v>
      </c>
      <c r="E16" s="22" t="s">
        <v>73</v>
      </c>
      <c r="F16" s="23" t="s">
        <v>93</v>
      </c>
      <c r="G16" s="23" t="s">
        <v>615</v>
      </c>
      <c r="H16" s="22" t="s">
        <v>97</v>
      </c>
      <c r="I16" s="23" t="s">
        <v>76</v>
      </c>
      <c r="J16" s="23" t="s">
        <v>50</v>
      </c>
      <c r="K16" s="22" t="s">
        <v>28</v>
      </c>
      <c r="L16" s="22" t="s">
        <v>51</v>
      </c>
      <c r="M16" s="22" t="s">
        <v>616</v>
      </c>
      <c r="N16" s="22" t="s">
        <v>30</v>
      </c>
      <c r="O16" s="22">
        <v>5.6000000000000001E-2</v>
      </c>
      <c r="P16" s="22">
        <v>0</v>
      </c>
      <c r="Q16" s="22">
        <v>0</v>
      </c>
      <c r="R16" s="22">
        <v>250</v>
      </c>
      <c r="S16" s="22">
        <v>1.8000000000000001E-4</v>
      </c>
      <c r="T16" s="22">
        <v>40</v>
      </c>
      <c r="U16" s="22">
        <v>16</v>
      </c>
      <c r="V16" s="22">
        <v>2</v>
      </c>
      <c r="W16" s="23">
        <v>100</v>
      </c>
      <c r="X16" s="24">
        <v>1.4</v>
      </c>
      <c r="Y16" s="23">
        <v>140</v>
      </c>
      <c r="Z16" s="25">
        <v>189</v>
      </c>
      <c r="AA16" s="46" t="s">
        <v>631</v>
      </c>
      <c r="AB16" s="23" t="s">
        <v>32</v>
      </c>
      <c r="AC16" s="23" t="s">
        <v>32</v>
      </c>
      <c r="AD16" s="23" t="s">
        <v>44</v>
      </c>
      <c r="AE16" s="22" t="s">
        <v>45</v>
      </c>
      <c r="AF16" s="37">
        <v>26.52083</v>
      </c>
      <c r="AG16" s="27">
        <f t="shared" si="0"/>
        <v>0.26520830000000001</v>
      </c>
      <c r="AH16" s="27">
        <f t="shared" si="1"/>
        <v>1.6652083</v>
      </c>
      <c r="AI16" s="23">
        <f t="shared" si="2"/>
        <v>166.52082999999999</v>
      </c>
      <c r="AJ16" s="33"/>
    </row>
    <row r="17" spans="1:36" ht="14.4">
      <c r="A17" s="22" t="s">
        <v>98</v>
      </c>
      <c r="B17" s="22" t="s">
        <v>99</v>
      </c>
      <c r="C17" s="23" t="s">
        <v>560</v>
      </c>
      <c r="D17" s="23" t="s">
        <v>24</v>
      </c>
      <c r="E17" s="22" t="s">
        <v>100</v>
      </c>
      <c r="F17" s="23" t="s">
        <v>101</v>
      </c>
      <c r="G17" s="23" t="s">
        <v>615</v>
      </c>
      <c r="H17" s="22" t="s">
        <v>101</v>
      </c>
      <c r="I17" s="23" t="s">
        <v>102</v>
      </c>
      <c r="J17" s="23" t="s">
        <v>42</v>
      </c>
      <c r="K17" s="22" t="s">
        <v>84</v>
      </c>
      <c r="L17" s="22" t="s">
        <v>51</v>
      </c>
      <c r="M17" s="22" t="s">
        <v>627</v>
      </c>
      <c r="N17" s="22" t="s">
        <v>84</v>
      </c>
      <c r="O17" s="22">
        <v>0.36</v>
      </c>
      <c r="P17" s="22" t="s">
        <v>103</v>
      </c>
      <c r="Q17" s="22" t="s">
        <v>31</v>
      </c>
      <c r="R17" s="22">
        <v>20</v>
      </c>
      <c r="S17" s="22">
        <v>4.28E-3</v>
      </c>
      <c r="T17" s="22">
        <v>30</v>
      </c>
      <c r="U17" s="22">
        <v>18</v>
      </c>
      <c r="V17" s="22">
        <v>13</v>
      </c>
      <c r="W17" s="23">
        <v>10</v>
      </c>
      <c r="X17" s="24">
        <v>26.8</v>
      </c>
      <c r="Y17" s="23">
        <v>268</v>
      </c>
      <c r="Z17" s="25">
        <v>3799</v>
      </c>
      <c r="AA17" s="45" t="s">
        <v>765</v>
      </c>
      <c r="AB17" s="23" t="s">
        <v>104</v>
      </c>
      <c r="AC17" s="23" t="s">
        <v>104</v>
      </c>
      <c r="AD17" s="23" t="s">
        <v>105</v>
      </c>
      <c r="AE17" s="22" t="s">
        <v>105</v>
      </c>
      <c r="AF17" s="37">
        <v>50.768439999999998</v>
      </c>
      <c r="AG17" s="27">
        <f t="shared" si="0"/>
        <v>5.0768439999999995</v>
      </c>
      <c r="AH17" s="27">
        <f t="shared" si="1"/>
        <v>31.876843999999998</v>
      </c>
      <c r="AI17" s="23">
        <f t="shared" si="2"/>
        <v>318.76844</v>
      </c>
      <c r="AJ17" s="33"/>
    </row>
    <row r="18" spans="1:36" ht="14.4">
      <c r="A18" s="22" t="s">
        <v>106</v>
      </c>
      <c r="B18" s="22" t="s">
        <v>107</v>
      </c>
      <c r="C18" s="23" t="s">
        <v>561</v>
      </c>
      <c r="D18" s="23" t="s">
        <v>24</v>
      </c>
      <c r="E18" s="22" t="s">
        <v>100</v>
      </c>
      <c r="F18" s="23" t="s">
        <v>101</v>
      </c>
      <c r="G18" s="23" t="s">
        <v>615</v>
      </c>
      <c r="H18" s="22" t="s">
        <v>101</v>
      </c>
      <c r="I18" s="23" t="s">
        <v>102</v>
      </c>
      <c r="J18" s="23" t="s">
        <v>108</v>
      </c>
      <c r="K18" s="22" t="s">
        <v>84</v>
      </c>
      <c r="L18" s="22" t="s">
        <v>51</v>
      </c>
      <c r="M18" s="22" t="s">
        <v>627</v>
      </c>
      <c r="N18" s="22" t="s">
        <v>84</v>
      </c>
      <c r="O18" s="22">
        <v>0.36</v>
      </c>
      <c r="P18" s="22" t="s">
        <v>109</v>
      </c>
      <c r="Q18" s="22" t="s">
        <v>31</v>
      </c>
      <c r="R18" s="22">
        <v>20</v>
      </c>
      <c r="S18" s="22">
        <v>4.28E-3</v>
      </c>
      <c r="T18" s="22">
        <v>30</v>
      </c>
      <c r="U18" s="22">
        <v>18</v>
      </c>
      <c r="V18" s="22">
        <v>13</v>
      </c>
      <c r="W18" s="23">
        <v>10</v>
      </c>
      <c r="X18" s="24">
        <v>26.8</v>
      </c>
      <c r="Y18" s="23">
        <v>268</v>
      </c>
      <c r="Z18" s="25">
        <v>3799</v>
      </c>
      <c r="AA18" s="45" t="s">
        <v>766</v>
      </c>
      <c r="AB18" s="23" t="s">
        <v>104</v>
      </c>
      <c r="AC18" s="23" t="s">
        <v>104</v>
      </c>
      <c r="AD18" s="23" t="s">
        <v>105</v>
      </c>
      <c r="AE18" s="22" t="s">
        <v>105</v>
      </c>
      <c r="AF18" s="37">
        <v>50.768439999999998</v>
      </c>
      <c r="AG18" s="27">
        <f t="shared" si="0"/>
        <v>5.0768439999999995</v>
      </c>
      <c r="AH18" s="27">
        <f t="shared" si="1"/>
        <v>31.876843999999998</v>
      </c>
      <c r="AI18" s="23">
        <f t="shared" si="2"/>
        <v>318.76844</v>
      </c>
      <c r="AJ18" s="33"/>
    </row>
    <row r="19" spans="1:36" ht="14.4">
      <c r="A19" s="22" t="s">
        <v>110</v>
      </c>
      <c r="B19" s="22" t="s">
        <v>111</v>
      </c>
      <c r="C19" s="23" t="s">
        <v>562</v>
      </c>
      <c r="D19" s="23" t="s">
        <v>24</v>
      </c>
      <c r="E19" s="22" t="s">
        <v>100</v>
      </c>
      <c r="F19" s="23" t="s">
        <v>112</v>
      </c>
      <c r="G19" s="23" t="s">
        <v>615</v>
      </c>
      <c r="H19" s="22" t="s">
        <v>112</v>
      </c>
      <c r="I19" s="23" t="s">
        <v>113</v>
      </c>
      <c r="J19" s="23" t="s">
        <v>27</v>
      </c>
      <c r="K19" s="22" t="s">
        <v>84</v>
      </c>
      <c r="L19" s="22" t="s">
        <v>51</v>
      </c>
      <c r="M19" s="22" t="s">
        <v>627</v>
      </c>
      <c r="N19" s="22" t="s">
        <v>84</v>
      </c>
      <c r="O19" s="22">
        <v>0.35</v>
      </c>
      <c r="P19" s="22" t="s">
        <v>114</v>
      </c>
      <c r="Q19" s="22" t="s">
        <v>31</v>
      </c>
      <c r="R19" s="22">
        <v>25</v>
      </c>
      <c r="S19" s="22">
        <v>3.4199999999999999E-3</v>
      </c>
      <c r="T19" s="22">
        <v>40</v>
      </c>
      <c r="U19" s="22">
        <v>30</v>
      </c>
      <c r="V19" s="22">
        <v>7</v>
      </c>
      <c r="W19" s="23">
        <v>20</v>
      </c>
      <c r="X19" s="24">
        <v>20.100000000000001</v>
      </c>
      <c r="Y19" s="23">
        <v>402</v>
      </c>
      <c r="Z19" s="25">
        <v>2899</v>
      </c>
      <c r="AA19" s="45" t="s">
        <v>767</v>
      </c>
      <c r="AB19" s="23" t="s">
        <v>104</v>
      </c>
      <c r="AC19" s="23" t="s">
        <v>104</v>
      </c>
      <c r="AD19" s="26">
        <v>54.99</v>
      </c>
      <c r="AE19" s="45" t="s">
        <v>768</v>
      </c>
      <c r="AF19" s="37">
        <v>76.152659999999997</v>
      </c>
      <c r="AG19" s="27">
        <f t="shared" si="0"/>
        <v>3.807633</v>
      </c>
      <c r="AH19" s="27">
        <f t="shared" si="1"/>
        <v>23.907633000000001</v>
      </c>
      <c r="AI19" s="23">
        <f t="shared" si="2"/>
        <v>478.15266000000003</v>
      </c>
      <c r="AJ19" s="33"/>
    </row>
    <row r="20" spans="1:36" ht="14.4">
      <c r="A20" s="22" t="s">
        <v>115</v>
      </c>
      <c r="B20" s="22" t="s">
        <v>116</v>
      </c>
      <c r="C20" s="23" t="s">
        <v>563</v>
      </c>
      <c r="D20" s="23" t="s">
        <v>24</v>
      </c>
      <c r="E20" s="22" t="s">
        <v>100</v>
      </c>
      <c r="F20" s="23" t="s">
        <v>112</v>
      </c>
      <c r="G20" s="23" t="s">
        <v>615</v>
      </c>
      <c r="H20" s="22" t="s">
        <v>112</v>
      </c>
      <c r="I20" s="23" t="s">
        <v>113</v>
      </c>
      <c r="J20" s="23" t="s">
        <v>36</v>
      </c>
      <c r="K20" s="22" t="s">
        <v>84</v>
      </c>
      <c r="L20" s="22" t="s">
        <v>51</v>
      </c>
      <c r="M20" s="22" t="s">
        <v>627</v>
      </c>
      <c r="N20" s="22" t="s">
        <v>84</v>
      </c>
      <c r="O20" s="22">
        <v>0.33500000000000002</v>
      </c>
      <c r="P20" s="22" t="s">
        <v>117</v>
      </c>
      <c r="Q20" s="22" t="s">
        <v>31</v>
      </c>
      <c r="R20" s="22">
        <v>25</v>
      </c>
      <c r="S20" s="22">
        <v>3.4199999999999999E-3</v>
      </c>
      <c r="T20" s="22">
        <v>40</v>
      </c>
      <c r="U20" s="22">
        <v>30</v>
      </c>
      <c r="V20" s="22">
        <v>7</v>
      </c>
      <c r="W20" s="23">
        <v>10</v>
      </c>
      <c r="X20" s="24">
        <v>20.100000000000001</v>
      </c>
      <c r="Y20" s="23">
        <v>201</v>
      </c>
      <c r="Z20" s="25">
        <v>2899</v>
      </c>
      <c r="AA20" s="45" t="s">
        <v>769</v>
      </c>
      <c r="AB20" s="23" t="s">
        <v>104</v>
      </c>
      <c r="AC20" s="23" t="s">
        <v>104</v>
      </c>
      <c r="AD20" s="26">
        <v>54.99</v>
      </c>
      <c r="AE20" s="45" t="s">
        <v>768</v>
      </c>
      <c r="AF20" s="37">
        <v>38.076329999999999</v>
      </c>
      <c r="AG20" s="27">
        <f t="shared" si="0"/>
        <v>3.807633</v>
      </c>
      <c r="AH20" s="27">
        <f t="shared" si="1"/>
        <v>23.907633000000001</v>
      </c>
      <c r="AI20" s="23">
        <f t="shared" si="2"/>
        <v>239.07633000000001</v>
      </c>
      <c r="AJ20" s="33"/>
    </row>
    <row r="21" spans="1:36" ht="14.4">
      <c r="A21" s="22" t="s">
        <v>118</v>
      </c>
      <c r="B21" s="22" t="s">
        <v>119</v>
      </c>
      <c r="C21" s="23" t="s">
        <v>562</v>
      </c>
      <c r="D21" s="23" t="s">
        <v>24</v>
      </c>
      <c r="E21" s="22" t="s">
        <v>100</v>
      </c>
      <c r="F21" s="23" t="s">
        <v>120</v>
      </c>
      <c r="G21" s="23" t="s">
        <v>632</v>
      </c>
      <c r="H21" s="22" t="s">
        <v>120</v>
      </c>
      <c r="I21" s="23" t="s">
        <v>121</v>
      </c>
      <c r="J21" s="23" t="s">
        <v>27</v>
      </c>
      <c r="K21" s="22" t="s">
        <v>84</v>
      </c>
      <c r="L21" s="22" t="s">
        <v>51</v>
      </c>
      <c r="M21" s="22" t="s">
        <v>627</v>
      </c>
      <c r="N21" s="22" t="s">
        <v>84</v>
      </c>
      <c r="O21" s="22">
        <v>0.31</v>
      </c>
      <c r="P21" s="22" t="s">
        <v>114</v>
      </c>
      <c r="Q21" s="22" t="s">
        <v>31</v>
      </c>
      <c r="R21" s="22">
        <v>25</v>
      </c>
      <c r="S21" s="22">
        <v>3.8000000000000002E-4</v>
      </c>
      <c r="T21" s="22">
        <v>40</v>
      </c>
      <c r="U21" s="22">
        <v>30</v>
      </c>
      <c r="V21" s="22">
        <v>8</v>
      </c>
      <c r="W21" s="23">
        <v>30</v>
      </c>
      <c r="X21" s="24">
        <v>7.1</v>
      </c>
      <c r="Y21" s="23">
        <v>213</v>
      </c>
      <c r="Z21" s="25">
        <v>1049</v>
      </c>
      <c r="AA21" s="45" t="s">
        <v>770</v>
      </c>
      <c r="AB21" s="23" t="s">
        <v>104</v>
      </c>
      <c r="AC21" s="23" t="s">
        <v>104</v>
      </c>
      <c r="AD21" s="26">
        <v>15.99</v>
      </c>
      <c r="AE21" s="45" t="s">
        <v>771</v>
      </c>
      <c r="AF21" s="37">
        <v>40.349539999999998</v>
      </c>
      <c r="AG21" s="27">
        <f t="shared" si="0"/>
        <v>1.3449846666666665</v>
      </c>
      <c r="AH21" s="27">
        <f t="shared" si="1"/>
        <v>8.4449846666666666</v>
      </c>
      <c r="AI21" s="23">
        <f t="shared" si="2"/>
        <v>253.34953999999999</v>
      </c>
      <c r="AJ21" s="33"/>
    </row>
    <row r="22" spans="1:36" ht="14.4">
      <c r="A22" s="22" t="s">
        <v>122</v>
      </c>
      <c r="B22" s="22" t="s">
        <v>123</v>
      </c>
      <c r="C22" s="23" t="s">
        <v>560</v>
      </c>
      <c r="D22" s="23" t="s">
        <v>24</v>
      </c>
      <c r="E22" s="22" t="s">
        <v>100</v>
      </c>
      <c r="F22" s="23" t="s">
        <v>124</v>
      </c>
      <c r="G22" s="23" t="s">
        <v>632</v>
      </c>
      <c r="H22" s="22" t="s">
        <v>124</v>
      </c>
      <c r="I22" s="23" t="s">
        <v>121</v>
      </c>
      <c r="J22" s="23" t="s">
        <v>42</v>
      </c>
      <c r="K22" s="22" t="s">
        <v>84</v>
      </c>
      <c r="L22" s="22" t="s">
        <v>51</v>
      </c>
      <c r="M22" s="22" t="s">
        <v>627</v>
      </c>
      <c r="N22" s="22" t="s">
        <v>84</v>
      </c>
      <c r="O22" s="22">
        <v>0.33800000000000002</v>
      </c>
      <c r="P22" s="22" t="s">
        <v>103</v>
      </c>
      <c r="Q22" s="22" t="s">
        <v>31</v>
      </c>
      <c r="R22" s="22">
        <v>20</v>
      </c>
      <c r="S22" s="22">
        <v>4.8000000000000001E-4</v>
      </c>
      <c r="T22" s="22">
        <v>40</v>
      </c>
      <c r="U22" s="22">
        <v>30</v>
      </c>
      <c r="V22" s="22">
        <v>8</v>
      </c>
      <c r="W22" s="23">
        <v>10</v>
      </c>
      <c r="X22" s="24">
        <v>20.100000000000001</v>
      </c>
      <c r="Y22" s="23">
        <v>201</v>
      </c>
      <c r="Z22" s="25">
        <v>2849</v>
      </c>
      <c r="AA22" s="45" t="s">
        <v>772</v>
      </c>
      <c r="AB22" s="29">
        <v>45</v>
      </c>
      <c r="AC22" s="48" t="s">
        <v>773</v>
      </c>
      <c r="AD22" s="23" t="s">
        <v>105</v>
      </c>
      <c r="AE22" s="22" t="s">
        <v>105</v>
      </c>
      <c r="AF22" s="37">
        <v>38.076329999999999</v>
      </c>
      <c r="AG22" s="27">
        <f t="shared" si="0"/>
        <v>3.807633</v>
      </c>
      <c r="AH22" s="27">
        <f t="shared" si="1"/>
        <v>23.907633000000001</v>
      </c>
      <c r="AI22" s="23">
        <f t="shared" si="2"/>
        <v>239.07633000000001</v>
      </c>
      <c r="AJ22" s="33"/>
    </row>
    <row r="23" spans="1:36" ht="14.4">
      <c r="A23" s="22" t="s">
        <v>125</v>
      </c>
      <c r="B23" s="22" t="s">
        <v>633</v>
      </c>
      <c r="C23" s="23" t="s">
        <v>564</v>
      </c>
      <c r="D23" s="23" t="s">
        <v>24</v>
      </c>
      <c r="E23" s="22" t="s">
        <v>100</v>
      </c>
      <c r="F23" s="23" t="s">
        <v>120</v>
      </c>
      <c r="G23" s="23" t="s">
        <v>632</v>
      </c>
      <c r="H23" s="22" t="s">
        <v>120</v>
      </c>
      <c r="I23" s="23" t="s">
        <v>121</v>
      </c>
      <c r="J23" s="23" t="s">
        <v>127</v>
      </c>
      <c r="K23" s="22" t="s">
        <v>84</v>
      </c>
      <c r="L23" s="22" t="s">
        <v>51</v>
      </c>
      <c r="M23" s="22" t="s">
        <v>627</v>
      </c>
      <c r="N23" s="22" t="s">
        <v>84</v>
      </c>
      <c r="O23" s="22">
        <v>0.27</v>
      </c>
      <c r="P23" s="22" t="s">
        <v>128</v>
      </c>
      <c r="Q23" s="22" t="s">
        <v>31</v>
      </c>
      <c r="R23" s="22">
        <v>25</v>
      </c>
      <c r="S23" s="22">
        <v>2.9E-4</v>
      </c>
      <c r="T23" s="22">
        <v>40</v>
      </c>
      <c r="U23" s="22">
        <v>30</v>
      </c>
      <c r="V23" s="22">
        <v>6</v>
      </c>
      <c r="W23" s="23">
        <v>10</v>
      </c>
      <c r="X23" s="24">
        <v>7.1</v>
      </c>
      <c r="Y23" s="23">
        <v>71</v>
      </c>
      <c r="Z23" s="25">
        <v>1049</v>
      </c>
      <c r="AA23" s="45" t="s">
        <v>774</v>
      </c>
      <c r="AB23" s="23" t="s">
        <v>32</v>
      </c>
      <c r="AC23" s="23" t="s">
        <v>32</v>
      </c>
      <c r="AD23" s="23" t="s">
        <v>105</v>
      </c>
      <c r="AE23" s="22" t="s">
        <v>105</v>
      </c>
      <c r="AF23" s="37">
        <v>13.44985</v>
      </c>
      <c r="AG23" s="27">
        <f t="shared" si="0"/>
        <v>1.3449849999999999</v>
      </c>
      <c r="AH23" s="27">
        <f t="shared" si="1"/>
        <v>8.4449849999999991</v>
      </c>
      <c r="AI23" s="23">
        <f t="shared" si="2"/>
        <v>84.449849999999998</v>
      </c>
      <c r="AJ23" s="33"/>
    </row>
    <row r="24" spans="1:36" ht="14.4">
      <c r="A24" s="22" t="s">
        <v>129</v>
      </c>
      <c r="B24" s="22" t="s">
        <v>130</v>
      </c>
      <c r="C24" s="23" t="s">
        <v>565</v>
      </c>
      <c r="D24" s="23" t="s">
        <v>24</v>
      </c>
      <c r="E24" s="22" t="s">
        <v>100</v>
      </c>
      <c r="F24" s="23" t="s">
        <v>120</v>
      </c>
      <c r="G24" s="23" t="s">
        <v>632</v>
      </c>
      <c r="H24" s="22" t="s">
        <v>120</v>
      </c>
      <c r="I24" s="23" t="s">
        <v>121</v>
      </c>
      <c r="J24" s="23" t="s">
        <v>36</v>
      </c>
      <c r="K24" s="22" t="s">
        <v>131</v>
      </c>
      <c r="L24" s="22" t="s">
        <v>51</v>
      </c>
      <c r="M24" s="22" t="s">
        <v>627</v>
      </c>
      <c r="N24" s="22" t="s">
        <v>84</v>
      </c>
      <c r="O24" s="22">
        <v>0.27</v>
      </c>
      <c r="P24" s="22" t="s">
        <v>117</v>
      </c>
      <c r="Q24" s="22" t="s">
        <v>31</v>
      </c>
      <c r="R24" s="22">
        <v>25</v>
      </c>
      <c r="S24" s="22">
        <v>3.8000000000000002E-4</v>
      </c>
      <c r="T24" s="22">
        <v>40</v>
      </c>
      <c r="U24" s="22">
        <v>30</v>
      </c>
      <c r="V24" s="22">
        <v>8</v>
      </c>
      <c r="W24" s="23">
        <v>20</v>
      </c>
      <c r="X24" s="24">
        <v>7.1</v>
      </c>
      <c r="Y24" s="23">
        <v>142</v>
      </c>
      <c r="Z24" s="25">
        <v>1049</v>
      </c>
      <c r="AA24" s="45" t="s">
        <v>775</v>
      </c>
      <c r="AB24" s="23" t="s">
        <v>32</v>
      </c>
      <c r="AC24" s="23" t="s">
        <v>32</v>
      </c>
      <c r="AD24" s="23" t="s">
        <v>105</v>
      </c>
      <c r="AE24" s="22" t="s">
        <v>105</v>
      </c>
      <c r="AF24" s="37">
        <v>26.89969</v>
      </c>
      <c r="AG24" s="27">
        <f t="shared" si="0"/>
        <v>1.3449845</v>
      </c>
      <c r="AH24" s="27">
        <f t="shared" si="1"/>
        <v>8.4449845000000003</v>
      </c>
      <c r="AI24" s="23">
        <f t="shared" si="2"/>
        <v>168.89969000000002</v>
      </c>
      <c r="AJ24" s="33"/>
    </row>
    <row r="25" spans="1:36" ht="14.4">
      <c r="A25" s="22" t="s">
        <v>132</v>
      </c>
      <c r="B25" s="22" t="s">
        <v>133</v>
      </c>
      <c r="C25" s="23" t="s">
        <v>561</v>
      </c>
      <c r="D25" s="23" t="s">
        <v>24</v>
      </c>
      <c r="E25" s="22" t="s">
        <v>100</v>
      </c>
      <c r="F25" s="23" t="s">
        <v>124</v>
      </c>
      <c r="G25" s="23" t="s">
        <v>632</v>
      </c>
      <c r="H25" s="22" t="s">
        <v>124</v>
      </c>
      <c r="I25" s="23" t="s">
        <v>121</v>
      </c>
      <c r="J25" s="23" t="s">
        <v>108</v>
      </c>
      <c r="K25" s="22" t="s">
        <v>84</v>
      </c>
      <c r="L25" s="22" t="s">
        <v>51</v>
      </c>
      <c r="M25" s="22" t="s">
        <v>627</v>
      </c>
      <c r="N25" s="22" t="s">
        <v>84</v>
      </c>
      <c r="O25" s="22">
        <v>0.39</v>
      </c>
      <c r="P25" s="22" t="s">
        <v>109</v>
      </c>
      <c r="Q25" s="22" t="s">
        <v>31</v>
      </c>
      <c r="R25" s="22">
        <v>20</v>
      </c>
      <c r="S25" s="22">
        <v>3.5E-4</v>
      </c>
      <c r="T25" s="22">
        <v>30</v>
      </c>
      <c r="U25" s="22">
        <v>18</v>
      </c>
      <c r="V25" s="22">
        <v>13</v>
      </c>
      <c r="W25" s="23">
        <v>10</v>
      </c>
      <c r="X25" s="24">
        <v>20.100000000000001</v>
      </c>
      <c r="Y25" s="23">
        <v>201</v>
      </c>
      <c r="Z25" s="25">
        <v>2849</v>
      </c>
      <c r="AA25" s="45" t="s">
        <v>776</v>
      </c>
      <c r="AB25" s="23" t="s">
        <v>104</v>
      </c>
      <c r="AC25" s="23" t="s">
        <v>104</v>
      </c>
      <c r="AD25" s="23" t="s">
        <v>105</v>
      </c>
      <c r="AE25" s="22" t="s">
        <v>105</v>
      </c>
      <c r="AF25" s="37">
        <v>38.076329999999999</v>
      </c>
      <c r="AG25" s="27">
        <f t="shared" si="0"/>
        <v>3.807633</v>
      </c>
      <c r="AH25" s="27">
        <f t="shared" si="1"/>
        <v>23.907633000000001</v>
      </c>
      <c r="AI25" s="23">
        <f t="shared" si="2"/>
        <v>239.07633000000001</v>
      </c>
      <c r="AJ25" s="33"/>
    </row>
    <row r="26" spans="1:36" ht="14.4">
      <c r="A26" s="22" t="s">
        <v>134</v>
      </c>
      <c r="B26" s="22" t="s">
        <v>135</v>
      </c>
      <c r="C26" s="23" t="s">
        <v>561</v>
      </c>
      <c r="D26" s="23" t="s">
        <v>24</v>
      </c>
      <c r="E26" s="22" t="s">
        <v>136</v>
      </c>
      <c r="F26" s="23" t="s">
        <v>137</v>
      </c>
      <c r="G26" s="23" t="s">
        <v>615</v>
      </c>
      <c r="H26" s="22" t="s">
        <v>137</v>
      </c>
      <c r="I26" s="23" t="s">
        <v>138</v>
      </c>
      <c r="J26" s="23" t="s">
        <v>108</v>
      </c>
      <c r="K26" s="22" t="s">
        <v>84</v>
      </c>
      <c r="L26" s="22" t="s">
        <v>51</v>
      </c>
      <c r="M26" s="22" t="s">
        <v>627</v>
      </c>
      <c r="N26" s="22" t="s">
        <v>84</v>
      </c>
      <c r="O26" s="22">
        <v>2.08</v>
      </c>
      <c r="P26" s="22" t="s">
        <v>139</v>
      </c>
      <c r="Q26" s="22" t="s">
        <v>52</v>
      </c>
      <c r="R26" s="22">
        <v>6</v>
      </c>
      <c r="S26" s="22">
        <v>2.9909999999999999E-2</v>
      </c>
      <c r="T26" s="22">
        <v>70</v>
      </c>
      <c r="U26" s="22">
        <v>32</v>
      </c>
      <c r="V26" s="22">
        <v>20</v>
      </c>
      <c r="W26" s="23">
        <v>10</v>
      </c>
      <c r="X26" s="24">
        <v>21.7</v>
      </c>
      <c r="Y26" s="23">
        <v>217</v>
      </c>
      <c r="Z26" s="25">
        <v>2999</v>
      </c>
      <c r="AA26" s="45" t="s">
        <v>634</v>
      </c>
      <c r="AB26" s="23" t="s">
        <v>32</v>
      </c>
      <c r="AC26" s="23" t="s">
        <v>32</v>
      </c>
      <c r="AD26" s="26">
        <v>44.99</v>
      </c>
      <c r="AE26" s="45" t="s">
        <v>777</v>
      </c>
      <c r="AF26" s="37">
        <v>41.107280000000003</v>
      </c>
      <c r="AG26" s="27">
        <f t="shared" si="0"/>
        <v>4.1107279999999999</v>
      </c>
      <c r="AH26" s="27">
        <f t="shared" si="1"/>
        <v>25.810727999999997</v>
      </c>
      <c r="AI26" s="23">
        <f t="shared" si="2"/>
        <v>258.10727999999995</v>
      </c>
      <c r="AJ26" s="33"/>
    </row>
    <row r="27" spans="1:36" ht="14.4">
      <c r="A27" s="22" t="s">
        <v>140</v>
      </c>
      <c r="B27" s="22" t="s">
        <v>635</v>
      </c>
      <c r="C27" s="23" t="s">
        <v>560</v>
      </c>
      <c r="D27" s="23" t="s">
        <v>24</v>
      </c>
      <c r="E27" s="22" t="s">
        <v>136</v>
      </c>
      <c r="F27" s="23" t="s">
        <v>142</v>
      </c>
      <c r="G27" s="23" t="s">
        <v>636</v>
      </c>
      <c r="H27" s="22" t="s">
        <v>142</v>
      </c>
      <c r="I27" s="23" t="s">
        <v>76</v>
      </c>
      <c r="J27" s="23" t="s">
        <v>42</v>
      </c>
      <c r="K27" s="22" t="s">
        <v>84</v>
      </c>
      <c r="L27" s="22" t="s">
        <v>51</v>
      </c>
      <c r="M27" s="22" t="s">
        <v>627</v>
      </c>
      <c r="N27" s="22" t="s">
        <v>84</v>
      </c>
      <c r="O27" s="22">
        <v>1.76</v>
      </c>
      <c r="P27" s="22" t="s">
        <v>85</v>
      </c>
      <c r="Q27" s="22" t="s">
        <v>52</v>
      </c>
      <c r="R27" s="22">
        <v>6</v>
      </c>
      <c r="S27" s="22">
        <v>2.9909999999999999E-2</v>
      </c>
      <c r="T27" s="22">
        <v>71</v>
      </c>
      <c r="U27" s="22">
        <v>30</v>
      </c>
      <c r="V27" s="22">
        <v>14</v>
      </c>
      <c r="W27" s="23">
        <v>10</v>
      </c>
      <c r="X27" s="24">
        <v>25.8</v>
      </c>
      <c r="Y27" s="23">
        <v>258</v>
      </c>
      <c r="Z27" s="25">
        <v>3699</v>
      </c>
      <c r="AA27" s="45" t="s">
        <v>637</v>
      </c>
      <c r="AB27" s="23" t="s">
        <v>32</v>
      </c>
      <c r="AC27" s="23" t="s">
        <v>32</v>
      </c>
      <c r="AD27" s="23" t="s">
        <v>44</v>
      </c>
      <c r="AE27" s="22" t="s">
        <v>44</v>
      </c>
      <c r="AF27" s="37">
        <v>48.874090000000002</v>
      </c>
      <c r="AG27" s="27">
        <f t="shared" si="0"/>
        <v>4.8874089999999999</v>
      </c>
      <c r="AH27" s="27">
        <f t="shared" si="1"/>
        <v>30.687409000000002</v>
      </c>
      <c r="AI27" s="23">
        <f t="shared" si="2"/>
        <v>306.87409000000002</v>
      </c>
      <c r="AJ27" s="33"/>
    </row>
    <row r="28" spans="1:36" ht="14.4">
      <c r="A28" s="22" t="s">
        <v>143</v>
      </c>
      <c r="B28" s="22" t="s">
        <v>144</v>
      </c>
      <c r="C28" s="23" t="s">
        <v>556</v>
      </c>
      <c r="D28" s="23" t="s">
        <v>24</v>
      </c>
      <c r="E28" s="22" t="s">
        <v>136</v>
      </c>
      <c r="F28" s="23" t="s">
        <v>145</v>
      </c>
      <c r="G28" s="23" t="s">
        <v>615</v>
      </c>
      <c r="H28" s="22" t="s">
        <v>145</v>
      </c>
      <c r="I28" s="23" t="s">
        <v>146</v>
      </c>
      <c r="J28" s="23" t="s">
        <v>27</v>
      </c>
      <c r="K28" s="22" t="s">
        <v>28</v>
      </c>
      <c r="L28" s="22" t="s">
        <v>51</v>
      </c>
      <c r="M28" s="22" t="s">
        <v>627</v>
      </c>
      <c r="N28" s="22" t="s">
        <v>84</v>
      </c>
      <c r="O28" s="22">
        <v>1.1599999999999999</v>
      </c>
      <c r="P28" s="22" t="s">
        <v>147</v>
      </c>
      <c r="Q28" s="22" t="s">
        <v>52</v>
      </c>
      <c r="R28" s="22">
        <v>6</v>
      </c>
      <c r="S28" s="22">
        <v>2.9909999999999999E-2</v>
      </c>
      <c r="T28" s="22">
        <v>78</v>
      </c>
      <c r="U28" s="22">
        <v>30</v>
      </c>
      <c r="V28" s="22">
        <v>14</v>
      </c>
      <c r="W28" s="23">
        <v>20</v>
      </c>
      <c r="X28" s="24">
        <v>10</v>
      </c>
      <c r="Y28" s="23">
        <v>200</v>
      </c>
      <c r="Z28" s="25">
        <v>1499</v>
      </c>
      <c r="AA28" s="45" t="s">
        <v>638</v>
      </c>
      <c r="AB28" s="23" t="s">
        <v>32</v>
      </c>
      <c r="AC28" s="23" t="s">
        <v>32</v>
      </c>
      <c r="AD28" s="23" t="s">
        <v>44</v>
      </c>
      <c r="AE28" s="22" t="s">
        <v>44</v>
      </c>
      <c r="AF28" s="37">
        <v>37.886890000000001</v>
      </c>
      <c r="AG28" s="27">
        <f t="shared" si="0"/>
        <v>1.8943445000000001</v>
      </c>
      <c r="AH28" s="27">
        <f t="shared" si="1"/>
        <v>11.894344500000001</v>
      </c>
      <c r="AI28" s="23">
        <f t="shared" si="2"/>
        <v>237.88689000000002</v>
      </c>
      <c r="AJ28" s="33"/>
    </row>
    <row r="29" spans="1:36" ht="14.4">
      <c r="A29" s="22" t="s">
        <v>148</v>
      </c>
      <c r="B29" s="22" t="s">
        <v>149</v>
      </c>
      <c r="C29" s="23" t="s">
        <v>557</v>
      </c>
      <c r="D29" s="23" t="s">
        <v>24</v>
      </c>
      <c r="E29" s="22" t="s">
        <v>136</v>
      </c>
      <c r="F29" s="23" t="s">
        <v>145</v>
      </c>
      <c r="G29" s="23" t="s">
        <v>615</v>
      </c>
      <c r="H29" s="22" t="s">
        <v>145</v>
      </c>
      <c r="I29" s="23" t="s">
        <v>146</v>
      </c>
      <c r="J29" s="23" t="s">
        <v>36</v>
      </c>
      <c r="K29" s="22" t="s">
        <v>28</v>
      </c>
      <c r="L29" s="22" t="s">
        <v>51</v>
      </c>
      <c r="M29" s="22" t="s">
        <v>627</v>
      </c>
      <c r="N29" s="22" t="s">
        <v>84</v>
      </c>
      <c r="O29" s="22">
        <v>1.23</v>
      </c>
      <c r="P29" s="22" t="s">
        <v>150</v>
      </c>
      <c r="Q29" s="22" t="s">
        <v>52</v>
      </c>
      <c r="R29" s="22">
        <v>6</v>
      </c>
      <c r="S29" s="22">
        <v>2.9909999999999999E-2</v>
      </c>
      <c r="T29" s="22">
        <v>71</v>
      </c>
      <c r="U29" s="22">
        <v>30</v>
      </c>
      <c r="V29" s="22">
        <v>14</v>
      </c>
      <c r="W29" s="23">
        <v>20</v>
      </c>
      <c r="X29" s="24">
        <v>10</v>
      </c>
      <c r="Y29" s="23">
        <v>200</v>
      </c>
      <c r="Z29" s="25">
        <v>1499</v>
      </c>
      <c r="AA29" s="45" t="s">
        <v>639</v>
      </c>
      <c r="AB29" s="23" t="s">
        <v>32</v>
      </c>
      <c r="AC29" s="23" t="s">
        <v>32</v>
      </c>
      <c r="AD29" s="23" t="s">
        <v>44</v>
      </c>
      <c r="AE29" s="22" t="s">
        <v>44</v>
      </c>
      <c r="AF29" s="37">
        <v>37.886890000000001</v>
      </c>
      <c r="AG29" s="27">
        <f t="shared" si="0"/>
        <v>1.8943445000000001</v>
      </c>
      <c r="AH29" s="27">
        <f t="shared" si="1"/>
        <v>11.894344500000001</v>
      </c>
      <c r="AI29" s="23">
        <f t="shared" si="2"/>
        <v>237.88689000000002</v>
      </c>
      <c r="AJ29" s="33"/>
    </row>
    <row r="30" spans="1:36" ht="14.4">
      <c r="A30" s="22" t="s">
        <v>151</v>
      </c>
      <c r="B30" s="22" t="s">
        <v>152</v>
      </c>
      <c r="C30" s="23" t="s">
        <v>566</v>
      </c>
      <c r="D30" s="23" t="s">
        <v>24</v>
      </c>
      <c r="E30" s="22" t="s">
        <v>136</v>
      </c>
      <c r="F30" s="23" t="s">
        <v>145</v>
      </c>
      <c r="G30" s="23" t="s">
        <v>615</v>
      </c>
      <c r="H30" s="22" t="s">
        <v>145</v>
      </c>
      <c r="I30" s="23" t="s">
        <v>146</v>
      </c>
      <c r="J30" s="23" t="s">
        <v>127</v>
      </c>
      <c r="K30" s="22" t="s">
        <v>28</v>
      </c>
      <c r="L30" s="22" t="s">
        <v>51</v>
      </c>
      <c r="M30" s="22" t="s">
        <v>627</v>
      </c>
      <c r="N30" s="22" t="s">
        <v>84</v>
      </c>
      <c r="O30" s="22">
        <v>1.23</v>
      </c>
      <c r="P30" s="22" t="s">
        <v>153</v>
      </c>
      <c r="Q30" s="22" t="s">
        <v>52</v>
      </c>
      <c r="R30" s="22">
        <v>6</v>
      </c>
      <c r="S30" s="22">
        <v>2.9909999999999999E-2</v>
      </c>
      <c r="T30" s="22">
        <v>71</v>
      </c>
      <c r="U30" s="22">
        <v>30</v>
      </c>
      <c r="V30" s="22">
        <v>16</v>
      </c>
      <c r="W30" s="23">
        <v>20</v>
      </c>
      <c r="X30" s="24">
        <v>10</v>
      </c>
      <c r="Y30" s="23">
        <v>200</v>
      </c>
      <c r="Z30" s="25">
        <v>1499</v>
      </c>
      <c r="AA30" s="45" t="s">
        <v>640</v>
      </c>
      <c r="AB30" s="23" t="s">
        <v>32</v>
      </c>
      <c r="AC30" s="23" t="s">
        <v>32</v>
      </c>
      <c r="AD30" s="23" t="s">
        <v>44</v>
      </c>
      <c r="AE30" s="22" t="s">
        <v>44</v>
      </c>
      <c r="AF30" s="37">
        <v>37.886890000000001</v>
      </c>
      <c r="AG30" s="27">
        <f t="shared" si="0"/>
        <v>1.8943445000000001</v>
      </c>
      <c r="AH30" s="27">
        <f t="shared" si="1"/>
        <v>11.894344500000001</v>
      </c>
      <c r="AI30" s="23">
        <f t="shared" si="2"/>
        <v>237.88689000000002</v>
      </c>
      <c r="AJ30" s="33"/>
    </row>
    <row r="31" spans="1:36" ht="14.4">
      <c r="A31" s="22" t="s">
        <v>154</v>
      </c>
      <c r="B31" s="22" t="s">
        <v>155</v>
      </c>
      <c r="C31" s="23" t="s">
        <v>560</v>
      </c>
      <c r="D31" s="23" t="s">
        <v>24</v>
      </c>
      <c r="E31" s="22" t="s">
        <v>136</v>
      </c>
      <c r="F31" s="23" t="s">
        <v>120</v>
      </c>
      <c r="G31" s="23" t="s">
        <v>632</v>
      </c>
      <c r="H31" s="22" t="s">
        <v>120</v>
      </c>
      <c r="I31" s="23" t="s">
        <v>156</v>
      </c>
      <c r="J31" s="23" t="s">
        <v>42</v>
      </c>
      <c r="K31" s="22" t="s">
        <v>84</v>
      </c>
      <c r="L31" s="22" t="s">
        <v>51</v>
      </c>
      <c r="M31" s="22" t="s">
        <v>627</v>
      </c>
      <c r="N31" s="28" t="s">
        <v>84</v>
      </c>
      <c r="O31" s="22">
        <v>1.768</v>
      </c>
      <c r="P31" s="22" t="s">
        <v>85</v>
      </c>
      <c r="Q31" s="22" t="s">
        <v>52</v>
      </c>
      <c r="R31" s="22">
        <v>8</v>
      </c>
      <c r="S31" s="22">
        <v>6.8300000000000001E-3</v>
      </c>
      <c r="T31" s="22">
        <v>91</v>
      </c>
      <c r="U31" s="22">
        <v>30</v>
      </c>
      <c r="V31" s="22">
        <v>20</v>
      </c>
      <c r="W31" s="23">
        <v>10</v>
      </c>
      <c r="X31" s="24">
        <v>16.899999999999999</v>
      </c>
      <c r="Y31" s="23">
        <v>169</v>
      </c>
      <c r="Z31" s="25">
        <v>2699</v>
      </c>
      <c r="AA31" s="45" t="s">
        <v>641</v>
      </c>
      <c r="AB31" s="23" t="s">
        <v>32</v>
      </c>
      <c r="AC31" s="23" t="s">
        <v>32</v>
      </c>
      <c r="AD31" s="23" t="s">
        <v>44</v>
      </c>
      <c r="AE31" s="22" t="s">
        <v>44</v>
      </c>
      <c r="AF31" s="37">
        <v>32.014429999999997</v>
      </c>
      <c r="AG31" s="27">
        <f t="shared" si="0"/>
        <v>3.2014429999999998</v>
      </c>
      <c r="AH31" s="27">
        <f t="shared" si="1"/>
        <v>20.101443</v>
      </c>
      <c r="AI31" s="23">
        <f t="shared" si="2"/>
        <v>201.01443</v>
      </c>
      <c r="AJ31" s="33"/>
    </row>
    <row r="32" spans="1:36" ht="14.4">
      <c r="A32" s="22" t="s">
        <v>157</v>
      </c>
      <c r="B32" s="22" t="s">
        <v>158</v>
      </c>
      <c r="C32" s="23" t="s">
        <v>562</v>
      </c>
      <c r="D32" s="23" t="s">
        <v>24</v>
      </c>
      <c r="E32" s="22" t="s">
        <v>136</v>
      </c>
      <c r="F32" s="23" t="s">
        <v>120</v>
      </c>
      <c r="G32" s="23" t="s">
        <v>632</v>
      </c>
      <c r="H32" s="22" t="s">
        <v>120</v>
      </c>
      <c r="I32" s="23" t="s">
        <v>156</v>
      </c>
      <c r="J32" s="23" t="s">
        <v>27</v>
      </c>
      <c r="K32" s="22" t="s">
        <v>84</v>
      </c>
      <c r="L32" s="22" t="s">
        <v>51</v>
      </c>
      <c r="M32" s="22" t="s">
        <v>627</v>
      </c>
      <c r="N32" s="28" t="s">
        <v>84</v>
      </c>
      <c r="O32" s="22">
        <v>1.1639999999999999</v>
      </c>
      <c r="P32" s="22" t="s">
        <v>147</v>
      </c>
      <c r="Q32" s="22" t="s">
        <v>52</v>
      </c>
      <c r="R32" s="22">
        <v>8</v>
      </c>
      <c r="S32" s="22">
        <v>4.1000000000000003E-3</v>
      </c>
      <c r="T32" s="22">
        <v>78</v>
      </c>
      <c r="U32" s="22">
        <v>30</v>
      </c>
      <c r="V32" s="22">
        <v>14</v>
      </c>
      <c r="W32" s="23">
        <v>20</v>
      </c>
      <c r="X32" s="24">
        <v>15.5</v>
      </c>
      <c r="Y32" s="23">
        <v>310</v>
      </c>
      <c r="Z32" s="25">
        <v>2599</v>
      </c>
      <c r="AA32" s="45" t="s">
        <v>642</v>
      </c>
      <c r="AB32" s="23" t="s">
        <v>32</v>
      </c>
      <c r="AC32" s="23" t="s">
        <v>32</v>
      </c>
      <c r="AD32" s="23" t="s">
        <v>44</v>
      </c>
      <c r="AE32" s="22" t="s">
        <v>44</v>
      </c>
      <c r="AF32" s="37">
        <v>58.724690000000002</v>
      </c>
      <c r="AG32" s="27">
        <f t="shared" si="0"/>
        <v>2.9362345000000003</v>
      </c>
      <c r="AH32" s="27">
        <f t="shared" si="1"/>
        <v>18.436234500000001</v>
      </c>
      <c r="AI32" s="23">
        <f t="shared" si="2"/>
        <v>368.72469000000001</v>
      </c>
      <c r="AJ32" s="33"/>
    </row>
    <row r="33" spans="1:36" ht="14.4">
      <c r="A33" s="22" t="s">
        <v>159</v>
      </c>
      <c r="B33" s="22" t="s">
        <v>160</v>
      </c>
      <c r="C33" s="23" t="s">
        <v>563</v>
      </c>
      <c r="D33" s="23" t="s">
        <v>24</v>
      </c>
      <c r="E33" s="22" t="s">
        <v>136</v>
      </c>
      <c r="F33" s="23" t="s">
        <v>120</v>
      </c>
      <c r="G33" s="23" t="s">
        <v>632</v>
      </c>
      <c r="H33" s="22" t="s">
        <v>120</v>
      </c>
      <c r="I33" s="23" t="s">
        <v>156</v>
      </c>
      <c r="J33" s="23" t="s">
        <v>36</v>
      </c>
      <c r="K33" s="22" t="s">
        <v>84</v>
      </c>
      <c r="L33" s="22" t="s">
        <v>51</v>
      </c>
      <c r="M33" s="22" t="s">
        <v>627</v>
      </c>
      <c r="N33" s="28" t="s">
        <v>84</v>
      </c>
      <c r="O33" s="22">
        <v>1.9</v>
      </c>
      <c r="P33" s="22" t="s">
        <v>150</v>
      </c>
      <c r="Q33" s="22" t="s">
        <v>52</v>
      </c>
      <c r="R33" s="22">
        <v>10</v>
      </c>
      <c r="S33" s="22">
        <v>2.98E-3</v>
      </c>
      <c r="T33" s="22">
        <v>71</v>
      </c>
      <c r="U33" s="22">
        <v>30</v>
      </c>
      <c r="V33" s="22">
        <v>14</v>
      </c>
      <c r="W33" s="23">
        <v>20</v>
      </c>
      <c r="X33" s="24">
        <v>15.5</v>
      </c>
      <c r="Y33" s="23">
        <v>310</v>
      </c>
      <c r="Z33" s="25">
        <v>2599</v>
      </c>
      <c r="AA33" s="45" t="s">
        <v>643</v>
      </c>
      <c r="AB33" s="23" t="s">
        <v>32</v>
      </c>
      <c r="AC33" s="23" t="s">
        <v>32</v>
      </c>
      <c r="AD33" s="23" t="s">
        <v>44</v>
      </c>
      <c r="AE33" s="22" t="s">
        <v>44</v>
      </c>
      <c r="AF33" s="37">
        <v>58.724690000000002</v>
      </c>
      <c r="AG33" s="27">
        <f t="shared" si="0"/>
        <v>2.9362345000000003</v>
      </c>
      <c r="AH33" s="27">
        <f t="shared" si="1"/>
        <v>18.436234500000001</v>
      </c>
      <c r="AI33" s="23">
        <f t="shared" si="2"/>
        <v>368.72469000000001</v>
      </c>
      <c r="AJ33" s="33"/>
    </row>
    <row r="34" spans="1:36" ht="14.4">
      <c r="A34" s="22" t="s">
        <v>161</v>
      </c>
      <c r="B34" s="22" t="s">
        <v>162</v>
      </c>
      <c r="C34" s="23" t="s">
        <v>564</v>
      </c>
      <c r="D34" s="23" t="s">
        <v>24</v>
      </c>
      <c r="E34" s="22" t="s">
        <v>136</v>
      </c>
      <c r="F34" s="23" t="s">
        <v>120</v>
      </c>
      <c r="G34" s="23" t="s">
        <v>632</v>
      </c>
      <c r="H34" s="22" t="s">
        <v>120</v>
      </c>
      <c r="I34" s="23" t="s">
        <v>156</v>
      </c>
      <c r="J34" s="23" t="s">
        <v>127</v>
      </c>
      <c r="K34" s="22" t="s">
        <v>84</v>
      </c>
      <c r="L34" s="22" t="s">
        <v>51</v>
      </c>
      <c r="M34" s="22" t="s">
        <v>627</v>
      </c>
      <c r="N34" s="28" t="s">
        <v>84</v>
      </c>
      <c r="O34" s="22">
        <v>1</v>
      </c>
      <c r="P34" s="22" t="s">
        <v>153</v>
      </c>
      <c r="Q34" s="22" t="s">
        <v>52</v>
      </c>
      <c r="R34" s="22">
        <v>8</v>
      </c>
      <c r="S34" s="22">
        <v>3.7299999999999998E-3</v>
      </c>
      <c r="T34" s="22">
        <v>71</v>
      </c>
      <c r="U34" s="22">
        <v>30</v>
      </c>
      <c r="V34" s="22">
        <v>14</v>
      </c>
      <c r="W34" s="23">
        <v>20</v>
      </c>
      <c r="X34" s="24">
        <v>15.5</v>
      </c>
      <c r="Y34" s="23">
        <v>310</v>
      </c>
      <c r="Z34" s="25">
        <v>0</v>
      </c>
      <c r="AA34" s="22" t="s">
        <v>644</v>
      </c>
      <c r="AB34" s="23" t="s">
        <v>32</v>
      </c>
      <c r="AC34" s="23" t="s">
        <v>32</v>
      </c>
      <c r="AD34" s="23" t="s">
        <v>44</v>
      </c>
      <c r="AE34" s="22" t="s">
        <v>44</v>
      </c>
      <c r="AF34" s="37">
        <v>58.724690000000002</v>
      </c>
      <c r="AG34" s="27">
        <f t="shared" si="0"/>
        <v>2.9362345000000003</v>
      </c>
      <c r="AH34" s="27">
        <f t="shared" si="1"/>
        <v>18.436234500000001</v>
      </c>
      <c r="AI34" s="23">
        <f t="shared" si="2"/>
        <v>368.72469000000001</v>
      </c>
      <c r="AJ34" s="33"/>
    </row>
    <row r="35" spans="1:36" ht="14.4">
      <c r="A35" s="22" t="s">
        <v>163</v>
      </c>
      <c r="B35" s="22" t="s">
        <v>164</v>
      </c>
      <c r="C35" s="23" t="s">
        <v>558</v>
      </c>
      <c r="D35" s="23" t="s">
        <v>24</v>
      </c>
      <c r="E35" s="22" t="s">
        <v>165</v>
      </c>
      <c r="F35" s="23" t="s">
        <v>166</v>
      </c>
      <c r="G35" s="23" t="s">
        <v>615</v>
      </c>
      <c r="H35" s="22" t="s">
        <v>166</v>
      </c>
      <c r="I35" s="23" t="s">
        <v>26</v>
      </c>
      <c r="J35" s="23" t="s">
        <v>42</v>
      </c>
      <c r="K35" s="22" t="s">
        <v>28</v>
      </c>
      <c r="L35" s="22" t="s">
        <v>51</v>
      </c>
      <c r="M35" s="22" t="s">
        <v>616</v>
      </c>
      <c r="N35" s="28" t="s">
        <v>30</v>
      </c>
      <c r="O35" s="22">
        <v>0.192</v>
      </c>
      <c r="P35" s="22" t="s">
        <v>167</v>
      </c>
      <c r="Q35" s="22" t="s">
        <v>52</v>
      </c>
      <c r="R35" s="22">
        <v>50</v>
      </c>
      <c r="S35" s="22">
        <v>3.5899999999999999E-3</v>
      </c>
      <c r="T35" s="22">
        <v>50</v>
      </c>
      <c r="U35" s="22">
        <v>32</v>
      </c>
      <c r="V35" s="22">
        <v>2</v>
      </c>
      <c r="W35" s="23">
        <v>10</v>
      </c>
      <c r="X35" s="24">
        <v>5.2</v>
      </c>
      <c r="Y35" s="23">
        <v>52</v>
      </c>
      <c r="Z35" s="25">
        <v>619</v>
      </c>
      <c r="AA35" s="46" t="s">
        <v>645</v>
      </c>
      <c r="AB35" s="23" t="s">
        <v>32</v>
      </c>
      <c r="AC35" s="23" t="s">
        <v>32</v>
      </c>
      <c r="AD35" s="23" t="s">
        <v>44</v>
      </c>
      <c r="AE35" s="22" t="s">
        <v>44</v>
      </c>
      <c r="AF35" s="37">
        <v>9.8505900000000004</v>
      </c>
      <c r="AG35" s="27">
        <f t="shared" si="0"/>
        <v>0.98505900000000002</v>
      </c>
      <c r="AH35" s="27">
        <f t="shared" si="1"/>
        <v>6.1850589999999999</v>
      </c>
      <c r="AI35" s="23">
        <f t="shared" si="2"/>
        <v>61.850589999999997</v>
      </c>
      <c r="AJ35" s="33"/>
    </row>
    <row r="36" spans="1:36" ht="14.4">
      <c r="A36" s="22" t="s">
        <v>168</v>
      </c>
      <c r="B36" s="22" t="s">
        <v>169</v>
      </c>
      <c r="C36" s="23" t="s">
        <v>556</v>
      </c>
      <c r="D36" s="23" t="s">
        <v>24</v>
      </c>
      <c r="E36" s="22" t="s">
        <v>165</v>
      </c>
      <c r="F36" s="23" t="s">
        <v>166</v>
      </c>
      <c r="G36" s="23" t="s">
        <v>615</v>
      </c>
      <c r="H36" s="22" t="s">
        <v>166</v>
      </c>
      <c r="I36" s="23" t="s">
        <v>26</v>
      </c>
      <c r="J36" s="23" t="s">
        <v>27</v>
      </c>
      <c r="K36" s="22" t="s">
        <v>28</v>
      </c>
      <c r="L36" s="22" t="s">
        <v>51</v>
      </c>
      <c r="M36" s="22" t="s">
        <v>616</v>
      </c>
      <c r="N36" s="28" t="s">
        <v>30</v>
      </c>
      <c r="O36" s="22">
        <v>0.18</v>
      </c>
      <c r="P36" s="22" t="s">
        <v>170</v>
      </c>
      <c r="Q36" s="22" t="s">
        <v>52</v>
      </c>
      <c r="R36" s="22">
        <v>50</v>
      </c>
      <c r="S36" s="22">
        <v>3.5899999999999999E-3</v>
      </c>
      <c r="T36" s="22">
        <v>50</v>
      </c>
      <c r="U36" s="22">
        <v>32</v>
      </c>
      <c r="V36" s="22">
        <v>2</v>
      </c>
      <c r="W36" s="23">
        <v>10</v>
      </c>
      <c r="X36" s="24">
        <v>4.5999999999999996</v>
      </c>
      <c r="Y36" s="23">
        <v>46</v>
      </c>
      <c r="Z36" s="25">
        <v>619</v>
      </c>
      <c r="AA36" s="46" t="s">
        <v>646</v>
      </c>
      <c r="AB36" s="23" t="s">
        <v>32</v>
      </c>
      <c r="AC36" s="23" t="s">
        <v>32</v>
      </c>
      <c r="AD36" s="23" t="s">
        <v>44</v>
      </c>
      <c r="AE36" s="22" t="s">
        <v>44</v>
      </c>
      <c r="AF36" s="37">
        <v>8.7139900000000008</v>
      </c>
      <c r="AG36" s="27">
        <f t="shared" si="0"/>
        <v>0.87139900000000003</v>
      </c>
      <c r="AH36" s="27">
        <f t="shared" si="1"/>
        <v>5.4713989999999999</v>
      </c>
      <c r="AI36" s="23">
        <f t="shared" si="2"/>
        <v>54.713989999999995</v>
      </c>
      <c r="AJ36" s="33"/>
    </row>
    <row r="37" spans="1:36" ht="14.4">
      <c r="A37" s="22" t="s">
        <v>171</v>
      </c>
      <c r="B37" s="22" t="s">
        <v>172</v>
      </c>
      <c r="C37" s="23" t="s">
        <v>557</v>
      </c>
      <c r="D37" s="23" t="s">
        <v>24</v>
      </c>
      <c r="E37" s="22" t="s">
        <v>165</v>
      </c>
      <c r="F37" s="23" t="s">
        <v>166</v>
      </c>
      <c r="G37" s="23" t="s">
        <v>615</v>
      </c>
      <c r="H37" s="22" t="s">
        <v>166</v>
      </c>
      <c r="I37" s="23" t="s">
        <v>26</v>
      </c>
      <c r="J37" s="23" t="s">
        <v>36</v>
      </c>
      <c r="K37" s="22" t="s">
        <v>28</v>
      </c>
      <c r="L37" s="22" t="s">
        <v>51</v>
      </c>
      <c r="M37" s="22" t="s">
        <v>616</v>
      </c>
      <c r="N37" s="28" t="s">
        <v>30</v>
      </c>
      <c r="O37" s="22">
        <v>0.16</v>
      </c>
      <c r="P37" s="22" t="s">
        <v>173</v>
      </c>
      <c r="Q37" s="22" t="s">
        <v>52</v>
      </c>
      <c r="R37" s="22">
        <v>50</v>
      </c>
      <c r="S37" s="22">
        <v>3.5899999999999999E-3</v>
      </c>
      <c r="T37" s="22">
        <v>50</v>
      </c>
      <c r="U37" s="22">
        <v>32</v>
      </c>
      <c r="V37" s="22">
        <v>2</v>
      </c>
      <c r="W37" s="23">
        <v>10</v>
      </c>
      <c r="X37" s="24">
        <v>4.5999999999999996</v>
      </c>
      <c r="Y37" s="23">
        <v>46</v>
      </c>
      <c r="Z37" s="25">
        <v>619</v>
      </c>
      <c r="AA37" s="46" t="s">
        <v>647</v>
      </c>
      <c r="AB37" s="23" t="s">
        <v>32</v>
      </c>
      <c r="AC37" s="23" t="s">
        <v>32</v>
      </c>
      <c r="AD37" s="23" t="s">
        <v>44</v>
      </c>
      <c r="AE37" s="22" t="s">
        <v>44</v>
      </c>
      <c r="AF37" s="37">
        <v>8.7139900000000008</v>
      </c>
      <c r="AG37" s="27">
        <f t="shared" si="0"/>
        <v>0.87139900000000003</v>
      </c>
      <c r="AH37" s="27">
        <f t="shared" si="1"/>
        <v>5.4713989999999999</v>
      </c>
      <c r="AI37" s="23">
        <f t="shared" si="2"/>
        <v>54.713989999999995</v>
      </c>
      <c r="AJ37" s="33"/>
    </row>
    <row r="38" spans="1:36" ht="14.4">
      <c r="A38" s="22" t="s">
        <v>174</v>
      </c>
      <c r="B38" s="22" t="s">
        <v>580</v>
      </c>
      <c r="C38" s="23" t="s">
        <v>571</v>
      </c>
      <c r="D38" s="23" t="s">
        <v>24</v>
      </c>
      <c r="E38" s="22" t="s">
        <v>176</v>
      </c>
      <c r="F38" s="23" t="s">
        <v>177</v>
      </c>
      <c r="G38" s="23" t="s">
        <v>615</v>
      </c>
      <c r="H38" s="22" t="s">
        <v>178</v>
      </c>
      <c r="I38" s="23" t="s">
        <v>179</v>
      </c>
      <c r="J38" s="23" t="s">
        <v>180</v>
      </c>
      <c r="K38" s="22" t="s">
        <v>28</v>
      </c>
      <c r="L38" s="22" t="s">
        <v>51</v>
      </c>
      <c r="M38" s="22" t="s">
        <v>624</v>
      </c>
      <c r="N38" s="28" t="s">
        <v>77</v>
      </c>
      <c r="O38" s="22">
        <v>3.08</v>
      </c>
      <c r="P38" s="22">
        <v>0</v>
      </c>
      <c r="Q38" s="22">
        <v>0</v>
      </c>
      <c r="R38" s="22">
        <v>4</v>
      </c>
      <c r="S38" s="22">
        <v>2.6210000000000001E-2</v>
      </c>
      <c r="T38" s="22">
        <v>86</v>
      </c>
      <c r="U38" s="22">
        <v>34</v>
      </c>
      <c r="V38" s="22">
        <v>20</v>
      </c>
      <c r="W38" s="23">
        <v>5</v>
      </c>
      <c r="X38" s="24">
        <v>46.4</v>
      </c>
      <c r="Y38" s="23">
        <v>232</v>
      </c>
      <c r="Z38" s="25">
        <v>6709</v>
      </c>
      <c r="AA38" s="46" t="s">
        <v>649</v>
      </c>
      <c r="AB38" s="23" t="s">
        <v>32</v>
      </c>
      <c r="AC38" s="23" t="s">
        <v>32</v>
      </c>
      <c r="AD38" s="23" t="s">
        <v>44</v>
      </c>
      <c r="AE38" s="22" t="s">
        <v>44</v>
      </c>
      <c r="AF38" s="37">
        <v>43.948799999999999</v>
      </c>
      <c r="AG38" s="27">
        <f t="shared" si="0"/>
        <v>8.7897599999999994</v>
      </c>
      <c r="AH38" s="27">
        <f t="shared" si="1"/>
        <v>55.18976</v>
      </c>
      <c r="AI38" s="23">
        <f t="shared" si="2"/>
        <v>275.94880000000001</v>
      </c>
      <c r="AJ38" s="33"/>
    </row>
    <row r="39" spans="1:36" ht="14.4">
      <c r="A39" s="22" t="s">
        <v>181</v>
      </c>
      <c r="B39" s="22" t="s">
        <v>581</v>
      </c>
      <c r="C39" s="23" t="s">
        <v>570</v>
      </c>
      <c r="D39" s="23" t="s">
        <v>24</v>
      </c>
      <c r="E39" s="22" t="s">
        <v>176</v>
      </c>
      <c r="F39" s="23" t="s">
        <v>177</v>
      </c>
      <c r="G39" s="23" t="s">
        <v>615</v>
      </c>
      <c r="H39" s="22" t="s">
        <v>178</v>
      </c>
      <c r="I39" s="23" t="s">
        <v>179</v>
      </c>
      <c r="J39" s="23" t="s">
        <v>183</v>
      </c>
      <c r="K39" s="22" t="s">
        <v>28</v>
      </c>
      <c r="L39" s="22" t="s">
        <v>51</v>
      </c>
      <c r="M39" s="22" t="s">
        <v>624</v>
      </c>
      <c r="N39" s="28" t="s">
        <v>77</v>
      </c>
      <c r="O39" s="22">
        <v>4</v>
      </c>
      <c r="P39" s="22">
        <v>0</v>
      </c>
      <c r="Q39" s="22">
        <v>0</v>
      </c>
      <c r="R39" s="22">
        <v>4</v>
      </c>
      <c r="S39" s="22">
        <v>2.6210000000000001E-2</v>
      </c>
      <c r="T39" s="22">
        <v>86</v>
      </c>
      <c r="U39" s="22">
        <v>34</v>
      </c>
      <c r="V39" s="22">
        <v>20</v>
      </c>
      <c r="W39" s="23">
        <v>5</v>
      </c>
      <c r="X39" s="24">
        <v>46.4</v>
      </c>
      <c r="Y39" s="23">
        <v>232</v>
      </c>
      <c r="Z39" s="25">
        <v>6709</v>
      </c>
      <c r="AA39" s="46" t="s">
        <v>650</v>
      </c>
      <c r="AB39" s="23" t="s">
        <v>32</v>
      </c>
      <c r="AC39" s="23" t="s">
        <v>32</v>
      </c>
      <c r="AD39" s="23" t="s">
        <v>44</v>
      </c>
      <c r="AE39" s="22" t="s">
        <v>44</v>
      </c>
      <c r="AF39" s="37">
        <v>43.948799999999999</v>
      </c>
      <c r="AG39" s="27">
        <f t="shared" si="0"/>
        <v>8.7897599999999994</v>
      </c>
      <c r="AH39" s="27">
        <f t="shared" si="1"/>
        <v>55.18976</v>
      </c>
      <c r="AI39" s="23">
        <f t="shared" si="2"/>
        <v>275.94880000000001</v>
      </c>
      <c r="AJ39" s="33"/>
    </row>
    <row r="40" spans="1:36" ht="14.4">
      <c r="A40" s="22" t="s">
        <v>184</v>
      </c>
      <c r="B40" s="22" t="s">
        <v>582</v>
      </c>
      <c r="C40" s="23" t="s">
        <v>568</v>
      </c>
      <c r="D40" s="23" t="s">
        <v>24</v>
      </c>
      <c r="E40" s="22" t="s">
        <v>176</v>
      </c>
      <c r="F40" s="23" t="s">
        <v>177</v>
      </c>
      <c r="G40" s="23" t="s">
        <v>615</v>
      </c>
      <c r="H40" s="22" t="s">
        <v>178</v>
      </c>
      <c r="I40" s="23" t="s">
        <v>179</v>
      </c>
      <c r="J40" s="23" t="s">
        <v>186</v>
      </c>
      <c r="K40" s="22" t="s">
        <v>28</v>
      </c>
      <c r="L40" s="22" t="s">
        <v>51</v>
      </c>
      <c r="M40" s="22" t="s">
        <v>624</v>
      </c>
      <c r="N40" s="28" t="s">
        <v>77</v>
      </c>
      <c r="O40" s="22">
        <v>4.2</v>
      </c>
      <c r="P40" s="22">
        <v>0</v>
      </c>
      <c r="Q40" s="22">
        <v>0</v>
      </c>
      <c r="R40" s="22">
        <v>3</v>
      </c>
      <c r="S40" s="22">
        <v>3.4950000000000002E-2</v>
      </c>
      <c r="T40" s="22">
        <v>86</v>
      </c>
      <c r="U40" s="22">
        <v>34</v>
      </c>
      <c r="V40" s="22">
        <v>20</v>
      </c>
      <c r="W40" s="23">
        <v>5</v>
      </c>
      <c r="X40" s="24">
        <v>47.05</v>
      </c>
      <c r="Y40" s="23">
        <v>235.25</v>
      </c>
      <c r="Z40" s="25">
        <v>0</v>
      </c>
      <c r="AA40" s="22" t="s">
        <v>644</v>
      </c>
      <c r="AB40" s="23" t="s">
        <v>32</v>
      </c>
      <c r="AC40" s="23" t="s">
        <v>32</v>
      </c>
      <c r="AD40" s="23" t="s">
        <v>44</v>
      </c>
      <c r="AE40" s="22" t="s">
        <v>44</v>
      </c>
      <c r="AF40" s="37">
        <v>44.564459999999997</v>
      </c>
      <c r="AG40" s="27">
        <f t="shared" si="0"/>
        <v>8.9128919999999994</v>
      </c>
      <c r="AH40" s="27">
        <f t="shared" si="1"/>
        <v>55.962891999999997</v>
      </c>
      <c r="AI40" s="23">
        <f t="shared" si="2"/>
        <v>279.81446</v>
      </c>
      <c r="AJ40" s="33"/>
    </row>
    <row r="41" spans="1:36" ht="14.4">
      <c r="A41" s="22" t="s">
        <v>187</v>
      </c>
      <c r="B41" s="22" t="s">
        <v>583</v>
      </c>
      <c r="C41" s="23" t="s">
        <v>569</v>
      </c>
      <c r="D41" s="23" t="s">
        <v>24</v>
      </c>
      <c r="E41" s="22" t="s">
        <v>176</v>
      </c>
      <c r="F41" s="23" t="s">
        <v>177</v>
      </c>
      <c r="G41" s="23" t="s">
        <v>615</v>
      </c>
      <c r="H41" s="22" t="s">
        <v>178</v>
      </c>
      <c r="I41" s="23" t="s">
        <v>179</v>
      </c>
      <c r="J41" s="23" t="s">
        <v>189</v>
      </c>
      <c r="K41" s="22" t="s">
        <v>28</v>
      </c>
      <c r="L41" s="22" t="s">
        <v>51</v>
      </c>
      <c r="M41" s="22" t="s">
        <v>624</v>
      </c>
      <c r="N41" s="28" t="s">
        <v>77</v>
      </c>
      <c r="O41" s="22">
        <v>4.5999999999999996</v>
      </c>
      <c r="P41" s="22">
        <v>0</v>
      </c>
      <c r="Q41" s="22">
        <v>0</v>
      </c>
      <c r="R41" s="22">
        <v>3</v>
      </c>
      <c r="S41" s="22">
        <v>3.4950000000000002E-2</v>
      </c>
      <c r="T41" s="22">
        <v>86</v>
      </c>
      <c r="U41" s="22">
        <v>34</v>
      </c>
      <c r="V41" s="22">
        <v>20</v>
      </c>
      <c r="W41" s="23">
        <v>5</v>
      </c>
      <c r="X41" s="24">
        <v>47.05</v>
      </c>
      <c r="Y41" s="23">
        <v>235.25</v>
      </c>
      <c r="Z41" s="25">
        <v>6809</v>
      </c>
      <c r="AA41" s="46" t="s">
        <v>651</v>
      </c>
      <c r="AB41" s="23" t="s">
        <v>32</v>
      </c>
      <c r="AC41" s="23" t="s">
        <v>32</v>
      </c>
      <c r="AD41" s="23" t="s">
        <v>44</v>
      </c>
      <c r="AE41" s="22" t="s">
        <v>44</v>
      </c>
      <c r="AF41" s="37">
        <v>44.564459999999997</v>
      </c>
      <c r="AG41" s="27">
        <f t="shared" si="0"/>
        <v>8.9128919999999994</v>
      </c>
      <c r="AH41" s="27">
        <f t="shared" si="1"/>
        <v>55.962891999999997</v>
      </c>
      <c r="AI41" s="23">
        <f t="shared" si="2"/>
        <v>279.81446</v>
      </c>
      <c r="AJ41" s="33"/>
    </row>
    <row r="42" spans="1:36" ht="14.4">
      <c r="A42" s="22" t="s">
        <v>190</v>
      </c>
      <c r="B42" s="22" t="s">
        <v>191</v>
      </c>
      <c r="C42" s="23" t="s">
        <v>567</v>
      </c>
      <c r="D42" s="23" t="s">
        <v>24</v>
      </c>
      <c r="E42" s="22" t="s">
        <v>176</v>
      </c>
      <c r="F42" s="23" t="s">
        <v>177</v>
      </c>
      <c r="G42" s="23" t="s">
        <v>615</v>
      </c>
      <c r="H42" s="22" t="s">
        <v>178</v>
      </c>
      <c r="I42" s="23" t="s">
        <v>179</v>
      </c>
      <c r="J42" s="23" t="s">
        <v>50</v>
      </c>
      <c r="K42" s="22" t="s">
        <v>28</v>
      </c>
      <c r="L42" s="22" t="s">
        <v>51</v>
      </c>
      <c r="M42" s="22" t="s">
        <v>624</v>
      </c>
      <c r="N42" s="28" t="s">
        <v>77</v>
      </c>
      <c r="O42" s="22">
        <v>5</v>
      </c>
      <c r="P42" s="22">
        <v>0</v>
      </c>
      <c r="Q42" s="22">
        <v>0</v>
      </c>
      <c r="R42" s="22">
        <v>2</v>
      </c>
      <c r="S42" s="22">
        <v>4.2759999999999999E-2</v>
      </c>
      <c r="T42" s="22">
        <v>86</v>
      </c>
      <c r="U42" s="22">
        <v>34</v>
      </c>
      <c r="V42" s="22">
        <v>20</v>
      </c>
      <c r="W42" s="23">
        <v>5</v>
      </c>
      <c r="X42" s="24">
        <v>55.05</v>
      </c>
      <c r="Y42" s="23">
        <v>275.25</v>
      </c>
      <c r="Z42" s="25">
        <v>7949</v>
      </c>
      <c r="AA42" s="46" t="s">
        <v>652</v>
      </c>
      <c r="AB42" s="23" t="s">
        <v>32</v>
      </c>
      <c r="AC42" s="23" t="s">
        <v>32</v>
      </c>
      <c r="AD42" s="23" t="s">
        <v>44</v>
      </c>
      <c r="AE42" s="22" t="s">
        <v>44</v>
      </c>
      <c r="AF42" s="37">
        <v>52.141840000000002</v>
      </c>
      <c r="AG42" s="27">
        <f t="shared" si="0"/>
        <v>10.428368000000001</v>
      </c>
      <c r="AH42" s="27">
        <f t="shared" si="1"/>
        <v>65.478368000000003</v>
      </c>
      <c r="AI42" s="23">
        <f t="shared" si="2"/>
        <v>327.39184</v>
      </c>
      <c r="AJ42" s="33"/>
    </row>
    <row r="43" spans="1:36" ht="14.4">
      <c r="A43" s="22" t="s">
        <v>192</v>
      </c>
      <c r="B43" s="22" t="s">
        <v>193</v>
      </c>
      <c r="C43" s="23" t="s">
        <v>567</v>
      </c>
      <c r="D43" s="23" t="s">
        <v>24</v>
      </c>
      <c r="E43" s="22" t="s">
        <v>194</v>
      </c>
      <c r="F43" s="23" t="s">
        <v>195</v>
      </c>
      <c r="G43" s="23" t="s">
        <v>615</v>
      </c>
      <c r="H43" s="22" t="s">
        <v>196</v>
      </c>
      <c r="I43" s="23" t="s">
        <v>197</v>
      </c>
      <c r="J43" s="23" t="s">
        <v>50</v>
      </c>
      <c r="K43" s="22" t="s">
        <v>28</v>
      </c>
      <c r="L43" s="22" t="s">
        <v>51</v>
      </c>
      <c r="M43" s="22" t="s">
        <v>624</v>
      </c>
      <c r="N43" s="28" t="s">
        <v>77</v>
      </c>
      <c r="O43" s="22">
        <v>4.5999999999999996</v>
      </c>
      <c r="P43" s="22">
        <v>0</v>
      </c>
      <c r="Q43" s="22">
        <v>0</v>
      </c>
      <c r="R43" s="22">
        <v>2</v>
      </c>
      <c r="S43" s="22">
        <v>4.2759999999999999E-2</v>
      </c>
      <c r="T43" s="22">
        <v>86</v>
      </c>
      <c r="U43" s="22">
        <v>34</v>
      </c>
      <c r="V43" s="22">
        <v>20</v>
      </c>
      <c r="W43" s="23">
        <v>5</v>
      </c>
      <c r="X43" s="24">
        <v>67.8</v>
      </c>
      <c r="Y43" s="23">
        <v>339</v>
      </c>
      <c r="Z43" s="25">
        <v>0</v>
      </c>
      <c r="AA43" s="22" t="s">
        <v>644</v>
      </c>
      <c r="AB43" s="29">
        <v>269</v>
      </c>
      <c r="AC43" s="48" t="s">
        <v>653</v>
      </c>
      <c r="AD43" s="26">
        <v>99.99</v>
      </c>
      <c r="AE43" s="45" t="s">
        <v>778</v>
      </c>
      <c r="AF43" s="37">
        <v>64.218289999999996</v>
      </c>
      <c r="AG43" s="27">
        <f t="shared" si="0"/>
        <v>12.843658</v>
      </c>
      <c r="AH43" s="27">
        <f t="shared" si="1"/>
        <v>80.643658000000002</v>
      </c>
      <c r="AI43" s="23">
        <f t="shared" si="2"/>
        <v>403.21829000000002</v>
      </c>
      <c r="AJ43" s="33"/>
    </row>
    <row r="44" spans="1:36" ht="14.4">
      <c r="A44" s="22" t="s">
        <v>198</v>
      </c>
      <c r="B44" s="22" t="s">
        <v>199</v>
      </c>
      <c r="C44" s="23" t="s">
        <v>568</v>
      </c>
      <c r="D44" s="23" t="s">
        <v>24</v>
      </c>
      <c r="E44" s="22" t="s">
        <v>194</v>
      </c>
      <c r="F44" s="23" t="s">
        <v>195</v>
      </c>
      <c r="G44" s="23" t="s">
        <v>615</v>
      </c>
      <c r="H44" s="22" t="s">
        <v>196</v>
      </c>
      <c r="I44" s="23" t="s">
        <v>197</v>
      </c>
      <c r="J44" s="23" t="s">
        <v>186</v>
      </c>
      <c r="K44" s="22" t="s">
        <v>28</v>
      </c>
      <c r="L44" s="22" t="s">
        <v>51</v>
      </c>
      <c r="M44" s="22" t="s">
        <v>624</v>
      </c>
      <c r="N44" s="28" t="s">
        <v>77</v>
      </c>
      <c r="O44" s="22">
        <v>4.2</v>
      </c>
      <c r="P44" s="22">
        <v>0</v>
      </c>
      <c r="Q44" s="22" t="s">
        <v>28</v>
      </c>
      <c r="R44" s="22">
        <v>3</v>
      </c>
      <c r="S44" s="22">
        <v>3.4950000000000002E-2</v>
      </c>
      <c r="T44" s="22">
        <v>86</v>
      </c>
      <c r="U44" s="22">
        <v>34</v>
      </c>
      <c r="V44" s="22">
        <v>20</v>
      </c>
      <c r="W44" s="23">
        <v>5</v>
      </c>
      <c r="X44" s="24">
        <v>58.5</v>
      </c>
      <c r="Y44" s="23">
        <v>292.5</v>
      </c>
      <c r="Z44" s="25">
        <v>0</v>
      </c>
      <c r="AA44" s="22" t="s">
        <v>644</v>
      </c>
      <c r="AB44" s="29">
        <v>269</v>
      </c>
      <c r="AC44" s="48" t="s">
        <v>653</v>
      </c>
      <c r="AD44" s="23" t="s">
        <v>44</v>
      </c>
      <c r="AE44" s="22" t="s">
        <v>44</v>
      </c>
      <c r="AF44" s="37">
        <v>55.409579999999998</v>
      </c>
      <c r="AG44" s="27">
        <f t="shared" si="0"/>
        <v>11.081916</v>
      </c>
      <c r="AH44" s="27">
        <f t="shared" si="1"/>
        <v>69.581916000000007</v>
      </c>
      <c r="AI44" s="23">
        <f t="shared" si="2"/>
        <v>347.90958000000001</v>
      </c>
      <c r="AJ44" s="33"/>
    </row>
    <row r="45" spans="1:36" ht="14.4">
      <c r="A45" s="22" t="s">
        <v>200</v>
      </c>
      <c r="B45" s="22" t="s">
        <v>201</v>
      </c>
      <c r="C45" s="23" t="s">
        <v>569</v>
      </c>
      <c r="D45" s="23" t="s">
        <v>24</v>
      </c>
      <c r="E45" s="22" t="s">
        <v>194</v>
      </c>
      <c r="F45" s="23" t="s">
        <v>195</v>
      </c>
      <c r="G45" s="23" t="s">
        <v>615</v>
      </c>
      <c r="H45" s="22" t="s">
        <v>196</v>
      </c>
      <c r="I45" s="23" t="s">
        <v>197</v>
      </c>
      <c r="J45" s="23" t="s">
        <v>189</v>
      </c>
      <c r="K45" s="22" t="s">
        <v>28</v>
      </c>
      <c r="L45" s="22" t="s">
        <v>51</v>
      </c>
      <c r="M45" s="22" t="s">
        <v>624</v>
      </c>
      <c r="N45" s="28" t="s">
        <v>77</v>
      </c>
      <c r="O45" s="22">
        <v>4.5999999999999996</v>
      </c>
      <c r="P45" s="22">
        <v>0</v>
      </c>
      <c r="Q45" s="22">
        <v>0</v>
      </c>
      <c r="R45" s="22">
        <v>3</v>
      </c>
      <c r="S45" s="22">
        <v>3.4950000000000002E-2</v>
      </c>
      <c r="T45" s="22">
        <v>86</v>
      </c>
      <c r="U45" s="22">
        <v>34</v>
      </c>
      <c r="V45" s="22">
        <v>20</v>
      </c>
      <c r="W45" s="23">
        <v>5</v>
      </c>
      <c r="X45" s="24">
        <v>58.5</v>
      </c>
      <c r="Y45" s="23">
        <v>292.5</v>
      </c>
      <c r="Z45" s="25">
        <v>0</v>
      </c>
      <c r="AA45" s="22" t="s">
        <v>644</v>
      </c>
      <c r="AB45" s="29">
        <v>269</v>
      </c>
      <c r="AC45" s="48" t="s">
        <v>653</v>
      </c>
      <c r="AD45" s="23" t="s">
        <v>44</v>
      </c>
      <c r="AE45" s="22" t="s">
        <v>44</v>
      </c>
      <c r="AF45" s="37">
        <v>55.409579999999998</v>
      </c>
      <c r="AG45" s="27">
        <f t="shared" si="0"/>
        <v>11.081916</v>
      </c>
      <c r="AH45" s="27">
        <f t="shared" si="1"/>
        <v>69.581916000000007</v>
      </c>
      <c r="AI45" s="23">
        <f t="shared" si="2"/>
        <v>347.90958000000001</v>
      </c>
      <c r="AJ45" s="33"/>
    </row>
    <row r="46" spans="1:36" ht="14.4">
      <c r="A46" s="22" t="s">
        <v>202</v>
      </c>
      <c r="B46" s="22" t="s">
        <v>203</v>
      </c>
      <c r="C46" s="23" t="s">
        <v>556</v>
      </c>
      <c r="D46" s="23" t="s">
        <v>24</v>
      </c>
      <c r="E46" s="22" t="s">
        <v>204</v>
      </c>
      <c r="F46" s="23" t="s">
        <v>205</v>
      </c>
      <c r="G46" s="23" t="s">
        <v>615</v>
      </c>
      <c r="H46" s="22" t="s">
        <v>206</v>
      </c>
      <c r="I46" s="23" t="s">
        <v>207</v>
      </c>
      <c r="J46" s="23" t="s">
        <v>27</v>
      </c>
      <c r="K46" s="22" t="s">
        <v>28</v>
      </c>
      <c r="L46" s="22" t="s">
        <v>51</v>
      </c>
      <c r="M46" s="22" t="s">
        <v>616</v>
      </c>
      <c r="N46" s="28" t="s">
        <v>30</v>
      </c>
      <c r="O46" s="22">
        <v>1.625</v>
      </c>
      <c r="P46" s="22" t="s">
        <v>208</v>
      </c>
      <c r="Q46" s="22" t="s">
        <v>52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3">
        <v>5</v>
      </c>
      <c r="X46" s="24">
        <v>26</v>
      </c>
      <c r="Y46" s="23">
        <v>130</v>
      </c>
      <c r="Z46" s="25">
        <v>3849</v>
      </c>
      <c r="AA46" s="46" t="s">
        <v>654</v>
      </c>
      <c r="AB46" s="29">
        <v>75</v>
      </c>
      <c r="AC46" s="48" t="s">
        <v>779</v>
      </c>
      <c r="AD46" s="23"/>
      <c r="AE46" s="33"/>
      <c r="AF46" s="37">
        <v>24.626480000000001</v>
      </c>
      <c r="AG46" s="27">
        <f t="shared" si="0"/>
        <v>4.9252960000000003</v>
      </c>
      <c r="AH46" s="27">
        <f t="shared" si="1"/>
        <v>30.925295999999999</v>
      </c>
      <c r="AI46" s="23">
        <f t="shared" si="2"/>
        <v>154.62647999999999</v>
      </c>
      <c r="AJ46" s="33"/>
    </row>
    <row r="47" spans="1:36" ht="14.4">
      <c r="A47" s="22" t="s">
        <v>209</v>
      </c>
      <c r="B47" s="22" t="s">
        <v>210</v>
      </c>
      <c r="C47" s="23" t="s">
        <v>577</v>
      </c>
      <c r="D47" s="23" t="s">
        <v>24</v>
      </c>
      <c r="E47" s="22" t="s">
        <v>204</v>
      </c>
      <c r="F47" s="23" t="s">
        <v>211</v>
      </c>
      <c r="G47" s="23" t="s">
        <v>615</v>
      </c>
      <c r="H47" s="22" t="s">
        <v>212</v>
      </c>
      <c r="I47" s="23" t="s">
        <v>207</v>
      </c>
      <c r="J47" s="23" t="s">
        <v>213</v>
      </c>
      <c r="K47" s="22" t="s">
        <v>28</v>
      </c>
      <c r="L47" s="22" t="s">
        <v>51</v>
      </c>
      <c r="M47" s="22" t="s">
        <v>616</v>
      </c>
      <c r="N47" s="28" t="s">
        <v>30</v>
      </c>
      <c r="O47" s="22">
        <v>2.875</v>
      </c>
      <c r="P47" s="22" t="s">
        <v>214</v>
      </c>
      <c r="Q47" s="22" t="s">
        <v>52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3">
        <v>5</v>
      </c>
      <c r="X47" s="24">
        <v>32.4</v>
      </c>
      <c r="Y47" s="23">
        <v>162</v>
      </c>
      <c r="Z47" s="25">
        <v>4849</v>
      </c>
      <c r="AA47" s="46" t="s">
        <v>780</v>
      </c>
      <c r="AB47" s="29">
        <v>79</v>
      </c>
      <c r="AC47" s="48" t="s">
        <v>781</v>
      </c>
      <c r="AD47" s="26">
        <v>89.99</v>
      </c>
      <c r="AE47" s="45" t="s">
        <v>215</v>
      </c>
      <c r="AF47" s="37">
        <v>30.688379999999999</v>
      </c>
      <c r="AG47" s="27">
        <f t="shared" si="0"/>
        <v>6.1376759999999999</v>
      </c>
      <c r="AH47" s="27">
        <f t="shared" si="1"/>
        <v>38.537675999999998</v>
      </c>
      <c r="AI47" s="23">
        <f t="shared" si="2"/>
        <v>192.68838</v>
      </c>
      <c r="AJ47" s="33"/>
    </row>
    <row r="48" spans="1:36" ht="14.4">
      <c r="A48" s="22" t="s">
        <v>216</v>
      </c>
      <c r="B48" s="22" t="s">
        <v>217</v>
      </c>
      <c r="C48" s="23" t="s">
        <v>577</v>
      </c>
      <c r="D48" s="23" t="s">
        <v>24</v>
      </c>
      <c r="E48" s="22" t="s">
        <v>204</v>
      </c>
      <c r="F48" s="23" t="s">
        <v>218</v>
      </c>
      <c r="G48" s="23" t="s">
        <v>615</v>
      </c>
      <c r="H48" s="22" t="s">
        <v>219</v>
      </c>
      <c r="I48" s="23" t="s">
        <v>207</v>
      </c>
      <c r="J48" s="23" t="s">
        <v>213</v>
      </c>
      <c r="K48" s="22" t="s">
        <v>28</v>
      </c>
      <c r="L48" s="22" t="s">
        <v>51</v>
      </c>
      <c r="M48" s="22" t="s">
        <v>616</v>
      </c>
      <c r="N48" s="28" t="s">
        <v>30</v>
      </c>
      <c r="O48" s="22">
        <v>3.3149999999999999</v>
      </c>
      <c r="P48" s="22" t="s">
        <v>220</v>
      </c>
      <c r="Q48" s="22" t="s">
        <v>52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3">
        <v>5</v>
      </c>
      <c r="X48" s="24">
        <v>32.4</v>
      </c>
      <c r="Y48" s="23">
        <v>162</v>
      </c>
      <c r="Z48" s="25">
        <v>4899</v>
      </c>
      <c r="AA48" s="46" t="s">
        <v>655</v>
      </c>
      <c r="AB48" s="29">
        <v>89</v>
      </c>
      <c r="AC48" s="48" t="s">
        <v>782</v>
      </c>
      <c r="AD48" s="23"/>
      <c r="AE48" s="33"/>
      <c r="AF48" s="37">
        <v>30.688379999999999</v>
      </c>
      <c r="AG48" s="27">
        <f t="shared" si="0"/>
        <v>6.1376759999999999</v>
      </c>
      <c r="AH48" s="27">
        <f t="shared" si="1"/>
        <v>38.537675999999998</v>
      </c>
      <c r="AI48" s="23">
        <f t="shared" si="2"/>
        <v>192.68838</v>
      </c>
      <c r="AJ48" s="33"/>
    </row>
    <row r="49" spans="1:36" ht="14.4">
      <c r="A49" s="22" t="s">
        <v>221</v>
      </c>
      <c r="B49" s="22" t="s">
        <v>222</v>
      </c>
      <c r="C49" s="23" t="s">
        <v>577</v>
      </c>
      <c r="D49" s="23" t="s">
        <v>24</v>
      </c>
      <c r="E49" s="22" t="s">
        <v>204</v>
      </c>
      <c r="F49" s="23" t="s">
        <v>223</v>
      </c>
      <c r="G49" s="23" t="s">
        <v>615</v>
      </c>
      <c r="H49" s="22" t="s">
        <v>224</v>
      </c>
      <c r="I49" s="23" t="s">
        <v>207</v>
      </c>
      <c r="J49" s="23" t="s">
        <v>213</v>
      </c>
      <c r="K49" s="22" t="s">
        <v>28</v>
      </c>
      <c r="L49" s="22" t="s">
        <v>51</v>
      </c>
      <c r="M49" s="22" t="s">
        <v>616</v>
      </c>
      <c r="N49" s="28" t="s">
        <v>30</v>
      </c>
      <c r="O49" s="22">
        <v>3.165</v>
      </c>
      <c r="P49" s="22" t="s">
        <v>225</v>
      </c>
      <c r="Q49" s="22" t="s">
        <v>52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3">
        <v>5</v>
      </c>
      <c r="X49" s="24">
        <v>31.1</v>
      </c>
      <c r="Y49" s="23">
        <v>155.5</v>
      </c>
      <c r="Z49" s="25">
        <v>4749</v>
      </c>
      <c r="AA49" s="46" t="s">
        <v>656</v>
      </c>
      <c r="AB49" s="23" t="s">
        <v>32</v>
      </c>
      <c r="AC49" s="23" t="s">
        <v>32</v>
      </c>
      <c r="AD49" s="23"/>
      <c r="AE49" s="33"/>
      <c r="AF49" s="37">
        <v>29.457059999999998</v>
      </c>
      <c r="AG49" s="27">
        <f t="shared" si="0"/>
        <v>5.8914119999999999</v>
      </c>
      <c r="AH49" s="27">
        <f t="shared" si="1"/>
        <v>36.991412000000004</v>
      </c>
      <c r="AI49" s="23">
        <f t="shared" si="2"/>
        <v>184.95706000000001</v>
      </c>
      <c r="AJ49" s="33"/>
    </row>
    <row r="50" spans="1:36" ht="14.4">
      <c r="A50" s="22" t="s">
        <v>226</v>
      </c>
      <c r="B50" s="22" t="s">
        <v>593</v>
      </c>
      <c r="C50" s="23" t="s">
        <v>577</v>
      </c>
      <c r="D50" s="23" t="s">
        <v>24</v>
      </c>
      <c r="E50" s="22" t="s">
        <v>204</v>
      </c>
      <c r="F50" s="23" t="s">
        <v>228</v>
      </c>
      <c r="G50" s="23" t="s">
        <v>615</v>
      </c>
      <c r="H50" s="22" t="s">
        <v>657</v>
      </c>
      <c r="I50" s="23" t="s">
        <v>229</v>
      </c>
      <c r="J50" s="23" t="s">
        <v>213</v>
      </c>
      <c r="K50" s="22" t="s">
        <v>28</v>
      </c>
      <c r="L50" s="22" t="s">
        <v>51</v>
      </c>
      <c r="M50" s="22" t="s">
        <v>616</v>
      </c>
      <c r="N50" s="28" t="s">
        <v>30</v>
      </c>
      <c r="O50" s="22">
        <v>2.1800000000000002</v>
      </c>
      <c r="P50" s="22" t="s">
        <v>230</v>
      </c>
      <c r="Q50" s="22" t="s">
        <v>52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3">
        <v>5</v>
      </c>
      <c r="X50" s="24">
        <v>21.7</v>
      </c>
      <c r="Y50" s="23">
        <v>108.5</v>
      </c>
      <c r="Z50" s="25">
        <v>3249</v>
      </c>
      <c r="AA50" s="46" t="s">
        <v>658</v>
      </c>
      <c r="AB50" s="23" t="s">
        <v>32</v>
      </c>
      <c r="AC50" s="23" t="s">
        <v>32</v>
      </c>
      <c r="AD50" s="23" t="s">
        <v>44</v>
      </c>
      <c r="AE50" s="22" t="s">
        <v>44</v>
      </c>
      <c r="AF50" s="37">
        <v>20.553640000000001</v>
      </c>
      <c r="AG50" s="27">
        <f t="shared" si="0"/>
        <v>4.1107279999999999</v>
      </c>
      <c r="AH50" s="27">
        <f t="shared" si="1"/>
        <v>25.810727999999997</v>
      </c>
      <c r="AI50" s="23">
        <f t="shared" si="2"/>
        <v>129.05363999999997</v>
      </c>
      <c r="AJ50" s="33"/>
    </row>
    <row r="51" spans="1:36" ht="14.4">
      <c r="A51" s="22" t="s">
        <v>231</v>
      </c>
      <c r="B51" s="22" t="s">
        <v>232</v>
      </c>
      <c r="C51" s="23" t="s">
        <v>558</v>
      </c>
      <c r="D51" s="23" t="s">
        <v>24</v>
      </c>
      <c r="E51" s="22" t="s">
        <v>56</v>
      </c>
      <c r="F51" s="23" t="s">
        <v>233</v>
      </c>
      <c r="G51" s="23" t="s">
        <v>615</v>
      </c>
      <c r="H51" s="22" t="s">
        <v>233</v>
      </c>
      <c r="I51" s="23" t="s">
        <v>26</v>
      </c>
      <c r="J51" s="23" t="s">
        <v>42</v>
      </c>
      <c r="K51" s="22" t="s">
        <v>28</v>
      </c>
      <c r="L51" s="22" t="s">
        <v>51</v>
      </c>
      <c r="M51" s="22" t="s">
        <v>616</v>
      </c>
      <c r="N51" s="28" t="s">
        <v>30</v>
      </c>
      <c r="O51" s="22">
        <v>0.245</v>
      </c>
      <c r="P51" s="22">
        <v>22.5</v>
      </c>
      <c r="Q51" s="22" t="s">
        <v>52</v>
      </c>
      <c r="R51" s="22">
        <v>84</v>
      </c>
      <c r="S51" s="22">
        <v>7.7999999999999999E-4</v>
      </c>
      <c r="T51" s="22">
        <v>8.5</v>
      </c>
      <c r="U51" s="22">
        <v>8.5</v>
      </c>
      <c r="V51" s="22">
        <v>0</v>
      </c>
      <c r="W51" s="23">
        <v>204</v>
      </c>
      <c r="X51" s="24">
        <v>8</v>
      </c>
      <c r="Y51" s="23">
        <v>1632</v>
      </c>
      <c r="Z51" s="25">
        <v>1149</v>
      </c>
      <c r="AA51" s="46" t="s">
        <v>659</v>
      </c>
      <c r="AB51" s="23" t="s">
        <v>32</v>
      </c>
      <c r="AC51" s="23" t="s">
        <v>32</v>
      </c>
      <c r="AD51" s="26">
        <v>13.99</v>
      </c>
      <c r="AE51" s="45" t="s">
        <v>660</v>
      </c>
      <c r="AF51" s="37">
        <v>309.15706</v>
      </c>
      <c r="AG51" s="27">
        <f t="shared" si="0"/>
        <v>1.5154757843137254</v>
      </c>
      <c r="AH51" s="27">
        <f t="shared" si="1"/>
        <v>9.5154757843137254</v>
      </c>
      <c r="AI51" s="23">
        <f t="shared" si="2"/>
        <v>1941.15706</v>
      </c>
      <c r="AJ51" s="33"/>
    </row>
    <row r="52" spans="1:36" ht="14.4">
      <c r="A52" s="22" t="s">
        <v>234</v>
      </c>
      <c r="B52" s="22" t="s">
        <v>235</v>
      </c>
      <c r="C52" s="23" t="s">
        <v>558</v>
      </c>
      <c r="D52" s="23" t="s">
        <v>24</v>
      </c>
      <c r="E52" s="22" t="s">
        <v>56</v>
      </c>
      <c r="F52" s="23" t="s">
        <v>236</v>
      </c>
      <c r="G52" s="23" t="s">
        <v>615</v>
      </c>
      <c r="H52" s="22" t="s">
        <v>236</v>
      </c>
      <c r="I52" s="23" t="s">
        <v>26</v>
      </c>
      <c r="J52" s="23" t="s">
        <v>42</v>
      </c>
      <c r="K52" s="22" t="s">
        <v>28</v>
      </c>
      <c r="L52" s="22" t="s">
        <v>51</v>
      </c>
      <c r="M52" s="22" t="s">
        <v>616</v>
      </c>
      <c r="N52" s="28" t="s">
        <v>30</v>
      </c>
      <c r="O52" s="22">
        <v>0.19600000000000001</v>
      </c>
      <c r="P52" s="22">
        <v>22.5</v>
      </c>
      <c r="Q52" s="22" t="s">
        <v>52</v>
      </c>
      <c r="R52" s="22">
        <v>84</v>
      </c>
      <c r="S52" s="22">
        <v>7.7999999999999999E-4</v>
      </c>
      <c r="T52" s="22">
        <v>8.5</v>
      </c>
      <c r="U52" s="22">
        <v>8.5</v>
      </c>
      <c r="V52" s="22">
        <v>0</v>
      </c>
      <c r="W52" s="23">
        <v>204</v>
      </c>
      <c r="X52" s="24">
        <v>4.8</v>
      </c>
      <c r="Y52" s="23">
        <v>979.2</v>
      </c>
      <c r="Z52" s="25">
        <v>799</v>
      </c>
      <c r="AA52" s="46" t="s">
        <v>661</v>
      </c>
      <c r="AB52" s="23" t="s">
        <v>32</v>
      </c>
      <c r="AC52" s="23" t="s">
        <v>32</v>
      </c>
      <c r="AD52" s="23" t="s">
        <v>237</v>
      </c>
      <c r="AE52" s="22" t="s">
        <v>237</v>
      </c>
      <c r="AF52" s="37">
        <v>185.49422999999999</v>
      </c>
      <c r="AG52" s="27">
        <f t="shared" si="0"/>
        <v>0.90928544117647048</v>
      </c>
      <c r="AH52" s="27">
        <f t="shared" si="1"/>
        <v>5.70928544117647</v>
      </c>
      <c r="AI52" s="23">
        <f t="shared" si="2"/>
        <v>1164.6942299999998</v>
      </c>
      <c r="AJ52" s="33"/>
    </row>
    <row r="53" spans="1:36" ht="14.4">
      <c r="A53" s="22" t="s">
        <v>238</v>
      </c>
      <c r="B53" s="22" t="s">
        <v>239</v>
      </c>
      <c r="C53" s="23" t="s">
        <v>558</v>
      </c>
      <c r="D53" s="23" t="s">
        <v>24</v>
      </c>
      <c r="E53" s="22" t="s">
        <v>56</v>
      </c>
      <c r="F53" s="23" t="s">
        <v>240</v>
      </c>
      <c r="G53" s="23" t="s">
        <v>615</v>
      </c>
      <c r="H53" s="22" t="s">
        <v>240</v>
      </c>
      <c r="I53" s="23" t="s">
        <v>26</v>
      </c>
      <c r="J53" s="23" t="s">
        <v>42</v>
      </c>
      <c r="K53" s="22" t="s">
        <v>28</v>
      </c>
      <c r="L53" s="22" t="s">
        <v>51</v>
      </c>
      <c r="M53" s="22" t="s">
        <v>616</v>
      </c>
      <c r="N53" s="28" t="s">
        <v>30</v>
      </c>
      <c r="O53" s="22">
        <v>0.15</v>
      </c>
      <c r="P53" s="22">
        <v>22.5</v>
      </c>
      <c r="Q53" s="22" t="s">
        <v>52</v>
      </c>
      <c r="R53" s="22">
        <v>84</v>
      </c>
      <c r="S53" s="22">
        <v>7.7999999999999999E-4</v>
      </c>
      <c r="T53" s="22">
        <v>46</v>
      </c>
      <c r="U53" s="22">
        <v>31</v>
      </c>
      <c r="V53" s="22">
        <v>46</v>
      </c>
      <c r="W53" s="23">
        <v>204</v>
      </c>
      <c r="X53" s="24">
        <v>5.7</v>
      </c>
      <c r="Y53" s="23">
        <v>1162.8</v>
      </c>
      <c r="Z53" s="25">
        <v>0</v>
      </c>
      <c r="AA53" s="22" t="s">
        <v>644</v>
      </c>
      <c r="AB53" s="23" t="s">
        <v>32</v>
      </c>
      <c r="AC53" s="23" t="s">
        <v>32</v>
      </c>
      <c r="AD53" s="23" t="s">
        <v>237</v>
      </c>
      <c r="AE53" s="22" t="s">
        <v>237</v>
      </c>
      <c r="AF53" s="37">
        <v>220.27440000000001</v>
      </c>
      <c r="AG53" s="27">
        <f t="shared" si="0"/>
        <v>1.0797764705882353</v>
      </c>
      <c r="AH53" s="27">
        <f t="shared" si="1"/>
        <v>6.7797764705882351</v>
      </c>
      <c r="AI53" s="23">
        <f t="shared" si="2"/>
        <v>1383.0744</v>
      </c>
      <c r="AJ53" s="33"/>
    </row>
    <row r="54" spans="1:36" ht="14.4">
      <c r="A54" s="22" t="s">
        <v>241</v>
      </c>
      <c r="B54" s="22" t="s">
        <v>242</v>
      </c>
      <c r="C54" s="23" t="s">
        <v>570</v>
      </c>
      <c r="D54" s="23" t="s">
        <v>24</v>
      </c>
      <c r="E54" s="22" t="s">
        <v>48</v>
      </c>
      <c r="F54" s="23" t="s">
        <v>243</v>
      </c>
      <c r="G54" s="23" t="s">
        <v>615</v>
      </c>
      <c r="H54" s="22" t="s">
        <v>243</v>
      </c>
      <c r="I54" s="23" t="s">
        <v>244</v>
      </c>
      <c r="J54" s="23" t="s">
        <v>183</v>
      </c>
      <c r="K54" s="22" t="s">
        <v>28</v>
      </c>
      <c r="L54" s="22" t="s">
        <v>51</v>
      </c>
      <c r="M54" s="22" t="s">
        <v>616</v>
      </c>
      <c r="N54" s="28" t="s">
        <v>30</v>
      </c>
      <c r="O54" s="22">
        <v>0.97399999999999998</v>
      </c>
      <c r="P54" s="22">
        <v>74</v>
      </c>
      <c r="Q54" s="22" t="s">
        <v>52</v>
      </c>
      <c r="R54" s="22">
        <v>12</v>
      </c>
      <c r="S54" s="22">
        <v>7.1300000000000001E-3</v>
      </c>
      <c r="T54" s="22">
        <v>80</v>
      </c>
      <c r="U54" s="22">
        <v>15.5</v>
      </c>
      <c r="V54" s="22">
        <v>3</v>
      </c>
      <c r="W54" s="23">
        <v>2</v>
      </c>
      <c r="X54" s="24">
        <v>30.4</v>
      </c>
      <c r="Y54" s="23">
        <v>60.8</v>
      </c>
      <c r="Z54" s="25">
        <v>4999</v>
      </c>
      <c r="AA54" s="45" t="s">
        <v>662</v>
      </c>
      <c r="AB54" s="23" t="s">
        <v>32</v>
      </c>
      <c r="AC54" s="23" t="s">
        <v>32</v>
      </c>
      <c r="AD54" s="23" t="s">
        <v>105</v>
      </c>
      <c r="AE54" s="22" t="s">
        <v>105</v>
      </c>
      <c r="AF54" s="37">
        <v>11.517620000000001</v>
      </c>
      <c r="AG54" s="27">
        <f t="shared" si="0"/>
        <v>5.7588100000000004</v>
      </c>
      <c r="AH54" s="27">
        <f t="shared" si="1"/>
        <v>36.158810000000003</v>
      </c>
      <c r="AI54" s="23">
        <f t="shared" si="2"/>
        <v>72.317620000000005</v>
      </c>
      <c r="AJ54" s="33"/>
    </row>
    <row r="55" spans="1:36" ht="14.4">
      <c r="A55" s="22" t="s">
        <v>245</v>
      </c>
      <c r="B55" s="22" t="s">
        <v>246</v>
      </c>
      <c r="C55" s="23" t="s">
        <v>569</v>
      </c>
      <c r="D55" s="23" t="s">
        <v>24</v>
      </c>
      <c r="E55" s="22" t="s">
        <v>48</v>
      </c>
      <c r="F55" s="23" t="s">
        <v>243</v>
      </c>
      <c r="G55" s="23" t="s">
        <v>615</v>
      </c>
      <c r="H55" s="22" t="s">
        <v>243</v>
      </c>
      <c r="I55" s="23" t="s">
        <v>244</v>
      </c>
      <c r="J55" s="23" t="s">
        <v>189</v>
      </c>
      <c r="K55" s="22" t="s">
        <v>28</v>
      </c>
      <c r="L55" s="22" t="s">
        <v>51</v>
      </c>
      <c r="M55" s="22" t="s">
        <v>616</v>
      </c>
      <c r="N55" s="28" t="s">
        <v>30</v>
      </c>
      <c r="O55" s="22">
        <v>1.2450000000000001</v>
      </c>
      <c r="P55" s="22">
        <v>80</v>
      </c>
      <c r="Q55" s="22" t="s">
        <v>52</v>
      </c>
      <c r="R55" s="22">
        <v>15</v>
      </c>
      <c r="S55" s="22">
        <v>5.7000000000000002E-3</v>
      </c>
      <c r="T55" s="22">
        <v>88</v>
      </c>
      <c r="U55" s="22">
        <v>16.5</v>
      </c>
      <c r="V55" s="22">
        <v>3.5</v>
      </c>
      <c r="W55" s="23">
        <v>5</v>
      </c>
      <c r="X55" s="24">
        <v>33.75</v>
      </c>
      <c r="Y55" s="23">
        <v>168.75</v>
      </c>
      <c r="Z55" s="25">
        <v>5499</v>
      </c>
      <c r="AA55" s="45" t="s">
        <v>663</v>
      </c>
      <c r="AB55" s="23" t="s">
        <v>32</v>
      </c>
      <c r="AC55" s="23" t="s">
        <v>32</v>
      </c>
      <c r="AD55" s="23" t="s">
        <v>105</v>
      </c>
      <c r="AE55" s="22" t="s">
        <v>105</v>
      </c>
      <c r="AF55" s="37">
        <v>31.96707</v>
      </c>
      <c r="AG55" s="27">
        <f t="shared" si="0"/>
        <v>6.3934139999999999</v>
      </c>
      <c r="AH55" s="27">
        <f t="shared" si="1"/>
        <v>40.143414</v>
      </c>
      <c r="AI55" s="23">
        <f t="shared" si="2"/>
        <v>200.71707000000001</v>
      </c>
      <c r="AJ55" s="33"/>
    </row>
    <row r="56" spans="1:36" ht="14.4">
      <c r="A56" s="22" t="s">
        <v>247</v>
      </c>
      <c r="B56" s="22" t="s">
        <v>248</v>
      </c>
      <c r="C56" s="23" t="s">
        <v>568</v>
      </c>
      <c r="D56" s="23" t="s">
        <v>24</v>
      </c>
      <c r="E56" s="22" t="s">
        <v>48</v>
      </c>
      <c r="F56" s="23" t="s">
        <v>243</v>
      </c>
      <c r="G56" s="23" t="s">
        <v>615</v>
      </c>
      <c r="H56" s="22" t="s">
        <v>243</v>
      </c>
      <c r="I56" s="23" t="s">
        <v>244</v>
      </c>
      <c r="J56" s="23" t="s">
        <v>186</v>
      </c>
      <c r="K56" s="22" t="s">
        <v>28</v>
      </c>
      <c r="L56" s="22" t="s">
        <v>51</v>
      </c>
      <c r="M56" s="22" t="s">
        <v>616</v>
      </c>
      <c r="N56" s="28" t="s">
        <v>30</v>
      </c>
      <c r="O56" s="22">
        <v>1.0760000000000001</v>
      </c>
      <c r="P56" s="22">
        <v>78</v>
      </c>
      <c r="Q56" s="22" t="s">
        <v>52</v>
      </c>
      <c r="R56" s="22">
        <v>15</v>
      </c>
      <c r="S56" s="22">
        <v>5.7000000000000002E-3</v>
      </c>
      <c r="T56" s="22">
        <v>86</v>
      </c>
      <c r="U56" s="22">
        <v>16</v>
      </c>
      <c r="V56" s="22">
        <v>3</v>
      </c>
      <c r="W56" s="23">
        <v>5</v>
      </c>
      <c r="X56" s="24">
        <v>33.75</v>
      </c>
      <c r="Y56" s="23">
        <v>168.75</v>
      </c>
      <c r="Z56" s="25">
        <v>5499</v>
      </c>
      <c r="AA56" s="45" t="s">
        <v>664</v>
      </c>
      <c r="AB56" s="23" t="s">
        <v>32</v>
      </c>
      <c r="AC56" s="23" t="s">
        <v>32</v>
      </c>
      <c r="AD56" s="23" t="s">
        <v>105</v>
      </c>
      <c r="AE56" s="22" t="s">
        <v>105</v>
      </c>
      <c r="AF56" s="37">
        <v>31.96707</v>
      </c>
      <c r="AG56" s="27">
        <f t="shared" si="0"/>
        <v>6.3934139999999999</v>
      </c>
      <c r="AH56" s="27">
        <f t="shared" si="1"/>
        <v>40.143414</v>
      </c>
      <c r="AI56" s="23">
        <f t="shared" si="2"/>
        <v>200.71707000000001</v>
      </c>
      <c r="AJ56" s="33"/>
    </row>
    <row r="57" spans="1:36" ht="14.4">
      <c r="A57" s="22" t="s">
        <v>249</v>
      </c>
      <c r="B57" s="22" t="s">
        <v>250</v>
      </c>
      <c r="C57" s="23" t="s">
        <v>571</v>
      </c>
      <c r="D57" s="23" t="s">
        <v>24</v>
      </c>
      <c r="E57" s="22" t="s">
        <v>48</v>
      </c>
      <c r="F57" s="23" t="s">
        <v>243</v>
      </c>
      <c r="G57" s="23" t="s">
        <v>615</v>
      </c>
      <c r="H57" s="22" t="s">
        <v>243</v>
      </c>
      <c r="I57" s="23" t="s">
        <v>244</v>
      </c>
      <c r="J57" s="23" t="s">
        <v>180</v>
      </c>
      <c r="K57" s="22" t="s">
        <v>28</v>
      </c>
      <c r="L57" s="22" t="s">
        <v>51</v>
      </c>
      <c r="M57" s="22" t="s">
        <v>616</v>
      </c>
      <c r="N57" s="28" t="s">
        <v>30</v>
      </c>
      <c r="O57" s="22">
        <v>0.85599999999999998</v>
      </c>
      <c r="P57" s="22">
        <v>72</v>
      </c>
      <c r="Q57" s="22" t="s">
        <v>52</v>
      </c>
      <c r="R57" s="22">
        <v>15</v>
      </c>
      <c r="S57" s="22">
        <v>5.7000000000000002E-3</v>
      </c>
      <c r="T57" s="22">
        <v>79</v>
      </c>
      <c r="U57" s="22">
        <v>15</v>
      </c>
      <c r="V57" s="22">
        <v>2.5</v>
      </c>
      <c r="W57" s="23">
        <v>2</v>
      </c>
      <c r="X57" s="24">
        <v>30.4</v>
      </c>
      <c r="Y57" s="23">
        <v>60.8</v>
      </c>
      <c r="Z57" s="25">
        <v>4999</v>
      </c>
      <c r="AA57" s="45" t="s">
        <v>665</v>
      </c>
      <c r="AB57" s="23" t="s">
        <v>32</v>
      </c>
      <c r="AC57" s="23" t="s">
        <v>32</v>
      </c>
      <c r="AD57" s="23" t="s">
        <v>105</v>
      </c>
      <c r="AE57" s="22" t="s">
        <v>105</v>
      </c>
      <c r="AF57" s="37">
        <v>11.517620000000001</v>
      </c>
      <c r="AG57" s="27">
        <f t="shared" si="0"/>
        <v>5.7588100000000004</v>
      </c>
      <c r="AH57" s="27">
        <f t="shared" si="1"/>
        <v>36.158810000000003</v>
      </c>
      <c r="AI57" s="23">
        <f t="shared" si="2"/>
        <v>72.317620000000005</v>
      </c>
      <c r="AJ57" s="33"/>
    </row>
    <row r="58" spans="1:36" ht="14.4">
      <c r="A58" s="22" t="s">
        <v>251</v>
      </c>
      <c r="B58" s="22" t="s">
        <v>252</v>
      </c>
      <c r="C58" s="23" t="s">
        <v>567</v>
      </c>
      <c r="D58" s="23" t="s">
        <v>24</v>
      </c>
      <c r="E58" s="22" t="s">
        <v>48</v>
      </c>
      <c r="F58" s="23" t="s">
        <v>253</v>
      </c>
      <c r="G58" s="23" t="s">
        <v>615</v>
      </c>
      <c r="H58" s="22" t="s">
        <v>253</v>
      </c>
      <c r="I58" s="23" t="s">
        <v>254</v>
      </c>
      <c r="J58" s="23" t="s">
        <v>50</v>
      </c>
      <c r="K58" s="22" t="s">
        <v>28</v>
      </c>
      <c r="L58" s="22" t="s">
        <v>51</v>
      </c>
      <c r="M58" s="22" t="s">
        <v>616</v>
      </c>
      <c r="N58" s="28" t="s">
        <v>30</v>
      </c>
      <c r="O58" s="22">
        <v>1.349</v>
      </c>
      <c r="P58" s="22">
        <v>85</v>
      </c>
      <c r="Q58" s="22" t="s">
        <v>52</v>
      </c>
      <c r="R58" s="22">
        <v>10</v>
      </c>
      <c r="S58" s="22">
        <v>8.5500000000000003E-3</v>
      </c>
      <c r="T58" s="22">
        <v>95</v>
      </c>
      <c r="U58" s="22">
        <v>17</v>
      </c>
      <c r="V58" s="22">
        <v>4.5</v>
      </c>
      <c r="W58" s="23">
        <v>2</v>
      </c>
      <c r="X58" s="24">
        <v>87.85</v>
      </c>
      <c r="Y58" s="23">
        <v>175.7</v>
      </c>
      <c r="Z58" s="25">
        <v>14999</v>
      </c>
      <c r="AA58" s="45" t="s">
        <v>666</v>
      </c>
      <c r="AB58" s="23" t="s">
        <v>32</v>
      </c>
      <c r="AC58" s="23" t="s">
        <v>32</v>
      </c>
      <c r="AD58" s="23" t="s">
        <v>105</v>
      </c>
      <c r="AE58" s="22" t="s">
        <v>105</v>
      </c>
      <c r="AF58" s="37">
        <v>33.283639999999998</v>
      </c>
      <c r="AG58" s="27">
        <f t="shared" si="0"/>
        <v>16.641819999999999</v>
      </c>
      <c r="AH58" s="27">
        <f t="shared" si="1"/>
        <v>104.49181999999999</v>
      </c>
      <c r="AI58" s="23">
        <f t="shared" si="2"/>
        <v>208.98363999999998</v>
      </c>
      <c r="AJ58" s="33"/>
    </row>
    <row r="59" spans="1:36" ht="14.4">
      <c r="A59" s="22" t="s">
        <v>255</v>
      </c>
      <c r="B59" s="22" t="s">
        <v>256</v>
      </c>
      <c r="C59" s="23" t="s">
        <v>567</v>
      </c>
      <c r="D59" s="23" t="s">
        <v>24</v>
      </c>
      <c r="E59" s="22" t="s">
        <v>48</v>
      </c>
      <c r="F59" s="23" t="s">
        <v>535</v>
      </c>
      <c r="G59" s="23" t="s">
        <v>615</v>
      </c>
      <c r="H59" s="22" t="s">
        <v>535</v>
      </c>
      <c r="I59" s="23" t="s">
        <v>257</v>
      </c>
      <c r="J59" s="23" t="s">
        <v>50</v>
      </c>
      <c r="K59" s="22" t="s">
        <v>28</v>
      </c>
      <c r="L59" s="22" t="s">
        <v>51</v>
      </c>
      <c r="M59" s="22" t="s">
        <v>616</v>
      </c>
      <c r="N59" s="28" t="s">
        <v>30</v>
      </c>
      <c r="O59" s="22">
        <v>1.349</v>
      </c>
      <c r="P59" s="22">
        <v>85</v>
      </c>
      <c r="Q59" s="22" t="s">
        <v>52</v>
      </c>
      <c r="R59" s="22">
        <v>10</v>
      </c>
      <c r="S59" s="22">
        <v>8.5500000000000003E-3</v>
      </c>
      <c r="T59" s="22">
        <v>95</v>
      </c>
      <c r="U59" s="22">
        <v>17</v>
      </c>
      <c r="V59" s="22">
        <v>4.5</v>
      </c>
      <c r="W59" s="23">
        <v>2</v>
      </c>
      <c r="X59" s="24">
        <v>54.05</v>
      </c>
      <c r="Y59" s="23">
        <v>108.1</v>
      </c>
      <c r="Z59" s="25">
        <v>9999</v>
      </c>
      <c r="AA59" s="45" t="s">
        <v>667</v>
      </c>
      <c r="AB59" s="23" t="s">
        <v>32</v>
      </c>
      <c r="AC59" s="23" t="s">
        <v>32</v>
      </c>
      <c r="AD59" s="23" t="s">
        <v>105</v>
      </c>
      <c r="AE59" s="22" t="s">
        <v>105</v>
      </c>
      <c r="AF59" s="37">
        <v>20.477869999999999</v>
      </c>
      <c r="AG59" s="27">
        <f t="shared" si="0"/>
        <v>10.238935</v>
      </c>
      <c r="AH59" s="27">
        <f t="shared" si="1"/>
        <v>64.288934999999995</v>
      </c>
      <c r="AI59" s="23">
        <f t="shared" si="2"/>
        <v>128.57786999999999</v>
      </c>
      <c r="AJ59" s="33"/>
    </row>
    <row r="60" spans="1:36" ht="14.4">
      <c r="A60" s="22" t="s">
        <v>258</v>
      </c>
      <c r="B60" s="22" t="s">
        <v>259</v>
      </c>
      <c r="C60" s="23" t="s">
        <v>569</v>
      </c>
      <c r="D60" s="23" t="s">
        <v>24</v>
      </c>
      <c r="E60" s="22" t="s">
        <v>48</v>
      </c>
      <c r="F60" s="23" t="s">
        <v>535</v>
      </c>
      <c r="G60" s="23" t="s">
        <v>615</v>
      </c>
      <c r="H60" s="22" t="s">
        <v>535</v>
      </c>
      <c r="I60" s="23" t="s">
        <v>76</v>
      </c>
      <c r="J60" s="23" t="s">
        <v>189</v>
      </c>
      <c r="K60" s="22" t="s">
        <v>28</v>
      </c>
      <c r="L60" s="22" t="s">
        <v>51</v>
      </c>
      <c r="M60" s="22" t="s">
        <v>616</v>
      </c>
      <c r="N60" s="28" t="s">
        <v>30</v>
      </c>
      <c r="O60" s="22">
        <v>1.2450000000000001</v>
      </c>
      <c r="P60" s="22">
        <v>80</v>
      </c>
      <c r="Q60" s="22" t="s">
        <v>52</v>
      </c>
      <c r="R60" s="22">
        <v>12</v>
      </c>
      <c r="S60" s="22">
        <v>4.2000000000000002E-4</v>
      </c>
      <c r="T60" s="22">
        <v>88</v>
      </c>
      <c r="U60" s="22">
        <v>16.5</v>
      </c>
      <c r="V60" s="22">
        <v>3.5</v>
      </c>
      <c r="W60" s="23">
        <v>5</v>
      </c>
      <c r="X60" s="24">
        <v>43.95</v>
      </c>
      <c r="Y60" s="23">
        <v>219.75</v>
      </c>
      <c r="Z60" s="25">
        <v>7999</v>
      </c>
      <c r="AA60" s="45" t="s">
        <v>668</v>
      </c>
      <c r="AB60" s="23" t="s">
        <v>32</v>
      </c>
      <c r="AC60" s="23" t="s">
        <v>32</v>
      </c>
      <c r="AD60" s="23" t="s">
        <v>105</v>
      </c>
      <c r="AE60" s="22" t="s">
        <v>105</v>
      </c>
      <c r="AF60" s="37">
        <v>41.628219999999999</v>
      </c>
      <c r="AG60" s="27">
        <f t="shared" si="0"/>
        <v>8.3256440000000005</v>
      </c>
      <c r="AH60" s="27">
        <f t="shared" si="1"/>
        <v>52.275644</v>
      </c>
      <c r="AI60" s="23">
        <f t="shared" si="2"/>
        <v>261.37822</v>
      </c>
      <c r="AJ60" s="33"/>
    </row>
    <row r="61" spans="1:36" ht="14.4">
      <c r="A61" s="22" t="s">
        <v>260</v>
      </c>
      <c r="B61" s="22" t="s">
        <v>261</v>
      </c>
      <c r="C61" s="23" t="s">
        <v>568</v>
      </c>
      <c r="D61" s="23" t="s">
        <v>24</v>
      </c>
      <c r="E61" s="22" t="s">
        <v>48</v>
      </c>
      <c r="F61" s="23" t="s">
        <v>535</v>
      </c>
      <c r="G61" s="23" t="s">
        <v>615</v>
      </c>
      <c r="H61" s="22" t="s">
        <v>535</v>
      </c>
      <c r="I61" s="23" t="s">
        <v>76</v>
      </c>
      <c r="J61" s="23" t="s">
        <v>262</v>
      </c>
      <c r="K61" s="22" t="s">
        <v>28</v>
      </c>
      <c r="L61" s="22" t="s">
        <v>51</v>
      </c>
      <c r="M61" s="22" t="s">
        <v>616</v>
      </c>
      <c r="N61" s="28" t="s">
        <v>30</v>
      </c>
      <c r="O61" s="22">
        <v>1.0760000000000001</v>
      </c>
      <c r="P61" s="22">
        <v>78</v>
      </c>
      <c r="Q61" s="22" t="s">
        <v>52</v>
      </c>
      <c r="R61" s="22">
        <v>12</v>
      </c>
      <c r="S61" s="22">
        <v>7.1300000000000001E-3</v>
      </c>
      <c r="T61" s="22">
        <v>86</v>
      </c>
      <c r="U61" s="22">
        <v>16</v>
      </c>
      <c r="V61" s="22">
        <v>3</v>
      </c>
      <c r="W61" s="23">
        <v>2</v>
      </c>
      <c r="X61" s="24">
        <v>43.95</v>
      </c>
      <c r="Y61" s="23">
        <v>87.9</v>
      </c>
      <c r="Z61" s="25">
        <v>7999</v>
      </c>
      <c r="AA61" s="45" t="s">
        <v>669</v>
      </c>
      <c r="AB61" s="23" t="s">
        <v>32</v>
      </c>
      <c r="AC61" s="23" t="s">
        <v>32</v>
      </c>
      <c r="AD61" s="23" t="s">
        <v>105</v>
      </c>
      <c r="AE61" s="22" t="s">
        <v>105</v>
      </c>
      <c r="AF61" s="37">
        <v>16.651289999999999</v>
      </c>
      <c r="AG61" s="27">
        <f t="shared" si="0"/>
        <v>8.3256449999999997</v>
      </c>
      <c r="AH61" s="27">
        <f t="shared" si="1"/>
        <v>52.275645000000004</v>
      </c>
      <c r="AI61" s="23">
        <f t="shared" si="2"/>
        <v>104.55129000000001</v>
      </c>
      <c r="AJ61" s="33"/>
    </row>
    <row r="62" spans="1:36" ht="14.4">
      <c r="A62" s="22" t="s">
        <v>263</v>
      </c>
      <c r="B62" s="22" t="s">
        <v>264</v>
      </c>
      <c r="C62" s="23" t="s">
        <v>570</v>
      </c>
      <c r="D62" s="23" t="s">
        <v>24</v>
      </c>
      <c r="E62" s="22" t="s">
        <v>48</v>
      </c>
      <c r="F62" s="23" t="s">
        <v>535</v>
      </c>
      <c r="G62" s="23" t="s">
        <v>615</v>
      </c>
      <c r="H62" s="22" t="s">
        <v>535</v>
      </c>
      <c r="I62" s="23" t="s">
        <v>76</v>
      </c>
      <c r="J62" s="23" t="s">
        <v>183</v>
      </c>
      <c r="K62" s="22" t="s">
        <v>28</v>
      </c>
      <c r="L62" s="22" t="s">
        <v>51</v>
      </c>
      <c r="M62" s="22" t="s">
        <v>616</v>
      </c>
      <c r="N62" s="28" t="s">
        <v>30</v>
      </c>
      <c r="O62" s="22">
        <v>0.97399999999999998</v>
      </c>
      <c r="P62" s="22">
        <v>74</v>
      </c>
      <c r="Q62" s="22" t="s">
        <v>52</v>
      </c>
      <c r="R62" s="22">
        <v>15</v>
      </c>
      <c r="S62" s="22">
        <v>8.5500000000000003E-3</v>
      </c>
      <c r="T62" s="22">
        <v>80</v>
      </c>
      <c r="U62" s="22">
        <v>15.5</v>
      </c>
      <c r="V62" s="22">
        <v>3</v>
      </c>
      <c r="W62" s="23">
        <v>2</v>
      </c>
      <c r="X62" s="24">
        <v>39.9</v>
      </c>
      <c r="Y62" s="23">
        <v>79.8</v>
      </c>
      <c r="Z62" s="25">
        <v>6999</v>
      </c>
      <c r="AA62" s="45" t="s">
        <v>670</v>
      </c>
      <c r="AB62" s="23" t="s">
        <v>32</v>
      </c>
      <c r="AC62" s="23" t="s">
        <v>32</v>
      </c>
      <c r="AD62" s="23" t="s">
        <v>105</v>
      </c>
      <c r="AE62" s="22" t="s">
        <v>105</v>
      </c>
      <c r="AF62" s="37">
        <v>15.11687</v>
      </c>
      <c r="AG62" s="27">
        <f t="shared" si="0"/>
        <v>7.5584350000000002</v>
      </c>
      <c r="AH62" s="27">
        <f t="shared" si="1"/>
        <v>47.458435000000001</v>
      </c>
      <c r="AI62" s="23">
        <f t="shared" si="2"/>
        <v>94.916870000000003</v>
      </c>
      <c r="AJ62" s="33"/>
    </row>
    <row r="63" spans="1:36" ht="14.4">
      <c r="A63" s="22" t="s">
        <v>265</v>
      </c>
      <c r="B63" s="22" t="s">
        <v>266</v>
      </c>
      <c r="C63" s="23" t="s">
        <v>569</v>
      </c>
      <c r="D63" s="23" t="s">
        <v>24</v>
      </c>
      <c r="E63" s="22" t="s">
        <v>48</v>
      </c>
      <c r="F63" s="23" t="s">
        <v>267</v>
      </c>
      <c r="G63" s="23" t="s">
        <v>615</v>
      </c>
      <c r="H63" s="22" t="s">
        <v>267</v>
      </c>
      <c r="I63" s="23" t="s">
        <v>268</v>
      </c>
      <c r="J63" s="23" t="s">
        <v>189</v>
      </c>
      <c r="K63" s="22" t="s">
        <v>28</v>
      </c>
      <c r="L63" s="22" t="s">
        <v>51</v>
      </c>
      <c r="M63" s="22" t="s">
        <v>616</v>
      </c>
      <c r="N63" s="28" t="s">
        <v>30</v>
      </c>
      <c r="O63" s="22">
        <v>1.2450000000000001</v>
      </c>
      <c r="P63" s="22">
        <v>80</v>
      </c>
      <c r="Q63" s="22" t="s">
        <v>52</v>
      </c>
      <c r="R63" s="22">
        <v>12</v>
      </c>
      <c r="S63" s="22">
        <v>4.2000000000000002E-4</v>
      </c>
      <c r="T63" s="22">
        <v>88</v>
      </c>
      <c r="U63" s="22">
        <v>16.5</v>
      </c>
      <c r="V63" s="22">
        <v>3.5</v>
      </c>
      <c r="W63" s="23">
        <v>2</v>
      </c>
      <c r="X63" s="24">
        <v>52.7</v>
      </c>
      <c r="Y63" s="23">
        <v>105.4</v>
      </c>
      <c r="Z63" s="25">
        <v>0</v>
      </c>
      <c r="AA63" s="22" t="s">
        <v>644</v>
      </c>
      <c r="AB63" s="23" t="s">
        <v>32</v>
      </c>
      <c r="AC63" s="23" t="s">
        <v>32</v>
      </c>
      <c r="AD63" s="23" t="s">
        <v>105</v>
      </c>
      <c r="AE63" s="22" t="s">
        <v>105</v>
      </c>
      <c r="AF63" s="37">
        <v>19.966390000000001</v>
      </c>
      <c r="AG63" s="27">
        <f t="shared" si="0"/>
        <v>9.9831950000000003</v>
      </c>
      <c r="AH63" s="27">
        <f t="shared" si="1"/>
        <v>62.683195000000005</v>
      </c>
      <c r="AI63" s="23">
        <f t="shared" si="2"/>
        <v>125.36639000000001</v>
      </c>
      <c r="AJ63" s="33"/>
    </row>
    <row r="64" spans="1:36" ht="14.4">
      <c r="A64" s="22" t="s">
        <v>269</v>
      </c>
      <c r="B64" s="22" t="s">
        <v>270</v>
      </c>
      <c r="C64" s="23" t="s">
        <v>568</v>
      </c>
      <c r="D64" s="23" t="s">
        <v>24</v>
      </c>
      <c r="E64" s="22" t="s">
        <v>48</v>
      </c>
      <c r="F64" s="23" t="s">
        <v>267</v>
      </c>
      <c r="G64" s="23" t="s">
        <v>615</v>
      </c>
      <c r="H64" s="22" t="s">
        <v>267</v>
      </c>
      <c r="I64" s="23" t="s">
        <v>268</v>
      </c>
      <c r="J64" s="23" t="s">
        <v>186</v>
      </c>
      <c r="K64" s="22" t="s">
        <v>28</v>
      </c>
      <c r="L64" s="22" t="s">
        <v>51</v>
      </c>
      <c r="M64" s="22" t="s">
        <v>616</v>
      </c>
      <c r="N64" s="28" t="s">
        <v>30</v>
      </c>
      <c r="O64" s="22">
        <v>1.0760000000000001</v>
      </c>
      <c r="P64" s="22">
        <v>78</v>
      </c>
      <c r="Q64" s="22" t="s">
        <v>52</v>
      </c>
      <c r="R64" s="22">
        <v>12</v>
      </c>
      <c r="S64" s="22">
        <v>7.1300000000000001E-3</v>
      </c>
      <c r="T64" s="22">
        <v>86</v>
      </c>
      <c r="U64" s="22">
        <v>16</v>
      </c>
      <c r="V64" s="22">
        <v>3</v>
      </c>
      <c r="W64" s="23">
        <v>2</v>
      </c>
      <c r="X64" s="24">
        <v>52.7</v>
      </c>
      <c r="Y64" s="23">
        <v>105.4</v>
      </c>
      <c r="Z64" s="25">
        <v>0</v>
      </c>
      <c r="AA64" s="22" t="s">
        <v>644</v>
      </c>
      <c r="AB64" s="23" t="s">
        <v>32</v>
      </c>
      <c r="AC64" s="23" t="s">
        <v>32</v>
      </c>
      <c r="AD64" s="23" t="s">
        <v>105</v>
      </c>
      <c r="AE64" s="22" t="s">
        <v>105</v>
      </c>
      <c r="AF64" s="37">
        <v>19.966390000000001</v>
      </c>
      <c r="AG64" s="27">
        <f t="shared" si="0"/>
        <v>9.9831950000000003</v>
      </c>
      <c r="AH64" s="27">
        <f t="shared" si="1"/>
        <v>62.683195000000005</v>
      </c>
      <c r="AI64" s="23">
        <f t="shared" si="2"/>
        <v>125.36639000000001</v>
      </c>
      <c r="AJ64" s="33"/>
    </row>
    <row r="65" spans="1:36" ht="14.4">
      <c r="A65" s="22" t="s">
        <v>271</v>
      </c>
      <c r="B65" s="22" t="s">
        <v>272</v>
      </c>
      <c r="C65" s="23" t="s">
        <v>570</v>
      </c>
      <c r="D65" s="23" t="s">
        <v>24</v>
      </c>
      <c r="E65" s="22" t="s">
        <v>48</v>
      </c>
      <c r="F65" s="23" t="s">
        <v>267</v>
      </c>
      <c r="G65" s="23" t="s">
        <v>615</v>
      </c>
      <c r="H65" s="22" t="s">
        <v>267</v>
      </c>
      <c r="I65" s="23" t="s">
        <v>268</v>
      </c>
      <c r="J65" s="23" t="s">
        <v>183</v>
      </c>
      <c r="K65" s="22" t="s">
        <v>28</v>
      </c>
      <c r="L65" s="22" t="s">
        <v>51</v>
      </c>
      <c r="M65" s="22" t="s">
        <v>616</v>
      </c>
      <c r="N65" s="28" t="s">
        <v>30</v>
      </c>
      <c r="O65" s="22">
        <v>0.97399999999999998</v>
      </c>
      <c r="P65" s="22">
        <v>74</v>
      </c>
      <c r="Q65" s="22" t="s">
        <v>52</v>
      </c>
      <c r="R65" s="22">
        <v>15</v>
      </c>
      <c r="S65" s="22">
        <v>5.7000000000000002E-3</v>
      </c>
      <c r="T65" s="22">
        <v>80</v>
      </c>
      <c r="U65" s="22">
        <v>15.5</v>
      </c>
      <c r="V65" s="22">
        <v>3</v>
      </c>
      <c r="W65" s="23">
        <v>2</v>
      </c>
      <c r="X65" s="24">
        <v>47.3</v>
      </c>
      <c r="Y65" s="23">
        <v>94.6</v>
      </c>
      <c r="Z65" s="25">
        <v>0</v>
      </c>
      <c r="AA65" s="22" t="s">
        <v>644</v>
      </c>
      <c r="AB65" s="23" t="s">
        <v>32</v>
      </c>
      <c r="AC65" s="23" t="s">
        <v>32</v>
      </c>
      <c r="AD65" s="23" t="s">
        <v>105</v>
      </c>
      <c r="AE65" s="22" t="s">
        <v>105</v>
      </c>
      <c r="AF65" s="37">
        <v>17.920500000000001</v>
      </c>
      <c r="AG65" s="27">
        <f t="shared" si="0"/>
        <v>8.9602500000000003</v>
      </c>
      <c r="AH65" s="27">
        <f t="shared" si="1"/>
        <v>56.260249999999999</v>
      </c>
      <c r="AI65" s="23">
        <f t="shared" si="2"/>
        <v>112.5205</v>
      </c>
      <c r="AJ65" s="33"/>
    </row>
    <row r="66" spans="1:36" ht="14.4">
      <c r="A66" s="22" t="s">
        <v>273</v>
      </c>
      <c r="B66" s="22" t="s">
        <v>274</v>
      </c>
      <c r="C66" s="23" t="s">
        <v>572</v>
      </c>
      <c r="D66" s="23" t="s">
        <v>24</v>
      </c>
      <c r="E66" s="22" t="s">
        <v>48</v>
      </c>
      <c r="F66" s="23" t="s">
        <v>267</v>
      </c>
      <c r="G66" s="23" t="s">
        <v>615</v>
      </c>
      <c r="H66" s="22" t="s">
        <v>267</v>
      </c>
      <c r="I66" s="23" t="s">
        <v>268</v>
      </c>
      <c r="J66" s="23" t="s">
        <v>275</v>
      </c>
      <c r="K66" s="22" t="s">
        <v>28</v>
      </c>
      <c r="L66" s="22" t="s">
        <v>51</v>
      </c>
      <c r="M66" s="22" t="s">
        <v>616</v>
      </c>
      <c r="N66" s="28" t="s">
        <v>30</v>
      </c>
      <c r="O66" s="22">
        <v>1.2789999999999999</v>
      </c>
      <c r="P66" s="22">
        <v>83</v>
      </c>
      <c r="Q66" s="22" t="s">
        <v>52</v>
      </c>
      <c r="R66" s="22">
        <v>10</v>
      </c>
      <c r="S66" s="22">
        <v>8.5500000000000003E-3</v>
      </c>
      <c r="T66" s="22">
        <v>95</v>
      </c>
      <c r="U66" s="22">
        <v>17</v>
      </c>
      <c r="V66" s="22">
        <v>4.5</v>
      </c>
      <c r="W66" s="23">
        <v>5</v>
      </c>
      <c r="X66" s="24">
        <v>59.45</v>
      </c>
      <c r="Y66" s="23">
        <v>297.25</v>
      </c>
      <c r="Z66" s="25">
        <v>0</v>
      </c>
      <c r="AA66" s="22" t="s">
        <v>644</v>
      </c>
      <c r="AB66" s="23" t="s">
        <v>32</v>
      </c>
      <c r="AC66" s="23" t="s">
        <v>32</v>
      </c>
      <c r="AD66" s="23" t="s">
        <v>105</v>
      </c>
      <c r="AE66" s="22" t="s">
        <v>105</v>
      </c>
      <c r="AF66" s="37">
        <v>56.309399999999997</v>
      </c>
      <c r="AG66" s="27">
        <f t="shared" si="0"/>
        <v>11.26188</v>
      </c>
      <c r="AH66" s="27">
        <f t="shared" si="1"/>
        <v>70.711880000000008</v>
      </c>
      <c r="AI66" s="23">
        <f t="shared" si="2"/>
        <v>353.55940000000004</v>
      </c>
      <c r="AJ66" s="33"/>
    </row>
    <row r="67" spans="1:36" ht="14.4">
      <c r="A67" s="22" t="s">
        <v>276</v>
      </c>
      <c r="B67" s="22" t="s">
        <v>277</v>
      </c>
      <c r="C67" s="23" t="s">
        <v>568</v>
      </c>
      <c r="D67" s="23" t="s">
        <v>24</v>
      </c>
      <c r="E67" s="22" t="s">
        <v>48</v>
      </c>
      <c r="F67" s="23" t="s">
        <v>278</v>
      </c>
      <c r="G67" s="23" t="s">
        <v>671</v>
      </c>
      <c r="H67" s="22" t="s">
        <v>278</v>
      </c>
      <c r="I67" s="23" t="s">
        <v>279</v>
      </c>
      <c r="J67" s="23" t="s">
        <v>186</v>
      </c>
      <c r="K67" s="22" t="s">
        <v>28</v>
      </c>
      <c r="L67" s="22" t="s">
        <v>51</v>
      </c>
      <c r="M67" s="22" t="s">
        <v>616</v>
      </c>
      <c r="N67" s="28" t="s">
        <v>30</v>
      </c>
      <c r="O67" s="22">
        <v>1.0760000000000001</v>
      </c>
      <c r="P67" s="22">
        <v>78</v>
      </c>
      <c r="Q67" s="22" t="s">
        <v>52</v>
      </c>
      <c r="R67" s="22">
        <v>12</v>
      </c>
      <c r="S67" s="22">
        <v>3.4000000000000002E-4</v>
      </c>
      <c r="T67" s="22">
        <v>86</v>
      </c>
      <c r="U67" s="22">
        <v>16</v>
      </c>
      <c r="V67" s="22">
        <v>3</v>
      </c>
      <c r="W67" s="23">
        <v>2</v>
      </c>
      <c r="X67" s="24">
        <v>40.15</v>
      </c>
      <c r="Y67" s="23">
        <v>80.3</v>
      </c>
      <c r="Z67" s="25">
        <v>0</v>
      </c>
      <c r="AA67" s="22" t="s">
        <v>644</v>
      </c>
      <c r="AB67" s="23" t="s">
        <v>32</v>
      </c>
      <c r="AC67" s="23" t="s">
        <v>32</v>
      </c>
      <c r="AD67" s="23" t="s">
        <v>105</v>
      </c>
      <c r="AE67" s="22" t="s">
        <v>105</v>
      </c>
      <c r="AF67" s="37">
        <v>15.211589999999999</v>
      </c>
      <c r="AG67" s="27">
        <f t="shared" si="0"/>
        <v>7.6057949999999996</v>
      </c>
      <c r="AH67" s="27">
        <f t="shared" si="1"/>
        <v>47.755794999999999</v>
      </c>
      <c r="AI67" s="23">
        <f t="shared" si="2"/>
        <v>95.511589999999998</v>
      </c>
      <c r="AJ67" s="33"/>
    </row>
    <row r="68" spans="1:36" ht="14.4">
      <c r="A68" s="22" t="s">
        <v>280</v>
      </c>
      <c r="B68" s="22" t="s">
        <v>281</v>
      </c>
      <c r="C68" s="23" t="s">
        <v>570</v>
      </c>
      <c r="D68" s="23" t="s">
        <v>24</v>
      </c>
      <c r="E68" s="22" t="s">
        <v>48</v>
      </c>
      <c r="F68" s="23" t="s">
        <v>278</v>
      </c>
      <c r="G68" s="23" t="s">
        <v>671</v>
      </c>
      <c r="H68" s="22" t="s">
        <v>278</v>
      </c>
      <c r="I68" s="23" t="s">
        <v>279</v>
      </c>
      <c r="J68" s="23" t="s">
        <v>183</v>
      </c>
      <c r="K68" s="22" t="s">
        <v>28</v>
      </c>
      <c r="L68" s="22" t="s">
        <v>51</v>
      </c>
      <c r="M68" s="22" t="s">
        <v>616</v>
      </c>
      <c r="N68" s="28" t="s">
        <v>30</v>
      </c>
      <c r="O68" s="22">
        <v>0.97399999999999998</v>
      </c>
      <c r="P68" s="22">
        <v>74</v>
      </c>
      <c r="Q68" s="22" t="s">
        <v>52</v>
      </c>
      <c r="R68" s="22">
        <v>12</v>
      </c>
      <c r="S68" s="22">
        <v>3.1E-4</v>
      </c>
      <c r="T68" s="22">
        <v>80</v>
      </c>
      <c r="U68" s="22">
        <v>15.5</v>
      </c>
      <c r="V68" s="22">
        <v>3</v>
      </c>
      <c r="W68" s="23">
        <v>2</v>
      </c>
      <c r="X68" s="24">
        <v>39.9</v>
      </c>
      <c r="Y68" s="23">
        <v>79.8</v>
      </c>
      <c r="Z68" s="25">
        <v>0</v>
      </c>
      <c r="AA68" s="22" t="s">
        <v>644</v>
      </c>
      <c r="AB68" s="23" t="s">
        <v>32</v>
      </c>
      <c r="AC68" s="23" t="s">
        <v>32</v>
      </c>
      <c r="AD68" s="23" t="s">
        <v>105</v>
      </c>
      <c r="AE68" s="22" t="s">
        <v>105</v>
      </c>
      <c r="AF68" s="37">
        <v>15.11687</v>
      </c>
      <c r="AG68" s="27">
        <f t="shared" si="0"/>
        <v>7.5584350000000002</v>
      </c>
      <c r="AH68" s="27">
        <f t="shared" si="1"/>
        <v>47.458435000000001</v>
      </c>
      <c r="AI68" s="23">
        <f t="shared" si="2"/>
        <v>94.916870000000003</v>
      </c>
      <c r="AJ68" s="33"/>
    </row>
    <row r="69" spans="1:36" ht="14.4">
      <c r="A69" s="22" t="s">
        <v>282</v>
      </c>
      <c r="B69" s="22" t="s">
        <v>283</v>
      </c>
      <c r="C69" s="23" t="s">
        <v>569</v>
      </c>
      <c r="D69" s="23" t="s">
        <v>24</v>
      </c>
      <c r="E69" s="22" t="s">
        <v>48</v>
      </c>
      <c r="F69" s="23" t="s">
        <v>284</v>
      </c>
      <c r="G69" s="23" t="s">
        <v>615</v>
      </c>
      <c r="H69" s="22" t="s">
        <v>284</v>
      </c>
      <c r="I69" s="23" t="s">
        <v>285</v>
      </c>
      <c r="J69" s="23" t="s">
        <v>189</v>
      </c>
      <c r="K69" s="22" t="s">
        <v>28</v>
      </c>
      <c r="L69" s="22" t="s">
        <v>51</v>
      </c>
      <c r="M69" s="22" t="s">
        <v>616</v>
      </c>
      <c r="N69" s="28" t="s">
        <v>30</v>
      </c>
      <c r="O69" s="22">
        <v>1.2649999999999999</v>
      </c>
      <c r="P69" s="22">
        <v>80</v>
      </c>
      <c r="Q69" s="22" t="s">
        <v>52</v>
      </c>
      <c r="R69" s="22">
        <v>15</v>
      </c>
      <c r="S69" s="22">
        <v>4.6499999999999996E-3</v>
      </c>
      <c r="T69" s="22">
        <v>88</v>
      </c>
      <c r="U69" s="22">
        <v>16.5</v>
      </c>
      <c r="V69" s="22">
        <v>3.5</v>
      </c>
      <c r="W69" s="23">
        <v>2</v>
      </c>
      <c r="X69" s="24">
        <v>24.3</v>
      </c>
      <c r="Y69" s="23">
        <v>48.6</v>
      </c>
      <c r="Z69" s="25">
        <v>4199</v>
      </c>
      <c r="AA69" s="45" t="s">
        <v>672</v>
      </c>
      <c r="AB69" s="23" t="s">
        <v>32</v>
      </c>
      <c r="AC69" s="23" t="s">
        <v>32</v>
      </c>
      <c r="AD69" s="23" t="s">
        <v>105</v>
      </c>
      <c r="AE69" s="22" t="s">
        <v>105</v>
      </c>
      <c r="AF69" s="37">
        <v>9.2065199999999994</v>
      </c>
      <c r="AG69" s="27">
        <f t="shared" si="0"/>
        <v>4.6032599999999997</v>
      </c>
      <c r="AH69" s="27">
        <f t="shared" si="1"/>
        <v>28.90326</v>
      </c>
      <c r="AI69" s="23">
        <f t="shared" si="2"/>
        <v>57.806519999999999</v>
      </c>
      <c r="AJ69" s="33"/>
    </row>
    <row r="70" spans="1:36" ht="14.4">
      <c r="A70" s="22" t="s">
        <v>286</v>
      </c>
      <c r="B70" s="22" t="s">
        <v>287</v>
      </c>
      <c r="C70" s="23" t="s">
        <v>568</v>
      </c>
      <c r="D70" s="23" t="s">
        <v>24</v>
      </c>
      <c r="E70" s="22" t="s">
        <v>48</v>
      </c>
      <c r="F70" s="23" t="s">
        <v>284</v>
      </c>
      <c r="G70" s="23" t="s">
        <v>615</v>
      </c>
      <c r="H70" s="22" t="s">
        <v>284</v>
      </c>
      <c r="I70" s="23" t="s">
        <v>285</v>
      </c>
      <c r="J70" s="23" t="s">
        <v>186</v>
      </c>
      <c r="K70" s="22" t="s">
        <v>28</v>
      </c>
      <c r="L70" s="22" t="s">
        <v>51</v>
      </c>
      <c r="M70" s="22" t="s">
        <v>616</v>
      </c>
      <c r="N70" s="28" t="s">
        <v>30</v>
      </c>
      <c r="O70" s="22">
        <v>1.1559999999999999</v>
      </c>
      <c r="P70" s="22">
        <v>78</v>
      </c>
      <c r="Q70" s="22" t="s">
        <v>52</v>
      </c>
      <c r="R70" s="22">
        <v>15</v>
      </c>
      <c r="S70" s="22">
        <v>4.6499999999999996E-3</v>
      </c>
      <c r="T70" s="22">
        <v>86</v>
      </c>
      <c r="U70" s="22">
        <v>16</v>
      </c>
      <c r="V70" s="22">
        <v>3</v>
      </c>
      <c r="W70" s="23">
        <v>2</v>
      </c>
      <c r="X70" s="24">
        <v>24.3</v>
      </c>
      <c r="Y70" s="23">
        <v>48.6</v>
      </c>
      <c r="Z70" s="25">
        <v>4199</v>
      </c>
      <c r="AA70" s="45" t="s">
        <v>673</v>
      </c>
      <c r="AB70" s="23" t="s">
        <v>32</v>
      </c>
      <c r="AC70" s="23" t="s">
        <v>32</v>
      </c>
      <c r="AD70" s="23" t="s">
        <v>105</v>
      </c>
      <c r="AE70" s="22" t="s">
        <v>105</v>
      </c>
      <c r="AF70" s="37">
        <v>9.2065199999999994</v>
      </c>
      <c r="AG70" s="27">
        <f t="shared" si="0"/>
        <v>4.6032599999999997</v>
      </c>
      <c r="AH70" s="27">
        <f t="shared" si="1"/>
        <v>28.90326</v>
      </c>
      <c r="AI70" s="23">
        <f t="shared" si="2"/>
        <v>57.806519999999999</v>
      </c>
      <c r="AJ70" s="33"/>
    </row>
    <row r="71" spans="1:36" ht="14.4">
      <c r="A71" s="22" t="s">
        <v>288</v>
      </c>
      <c r="B71" s="22" t="s">
        <v>289</v>
      </c>
      <c r="C71" s="23" t="s">
        <v>567</v>
      </c>
      <c r="D71" s="23" t="s">
        <v>24</v>
      </c>
      <c r="E71" s="22" t="s">
        <v>48</v>
      </c>
      <c r="F71" s="23" t="s">
        <v>290</v>
      </c>
      <c r="G71" s="23" t="s">
        <v>615</v>
      </c>
      <c r="H71" s="22" t="s">
        <v>290</v>
      </c>
      <c r="I71" s="23" t="s">
        <v>268</v>
      </c>
      <c r="J71" s="23" t="s">
        <v>50</v>
      </c>
      <c r="K71" s="22" t="s">
        <v>28</v>
      </c>
      <c r="L71" s="22" t="s">
        <v>51</v>
      </c>
      <c r="M71" s="22" t="s">
        <v>616</v>
      </c>
      <c r="N71" s="28" t="s">
        <v>30</v>
      </c>
      <c r="O71" s="22">
        <v>1.389</v>
      </c>
      <c r="P71" s="22">
        <v>85</v>
      </c>
      <c r="Q71" s="22" t="s">
        <v>52</v>
      </c>
      <c r="R71" s="22">
        <v>15</v>
      </c>
      <c r="S71" s="22">
        <v>5.7000000000000002E-3</v>
      </c>
      <c r="T71" s="22">
        <v>95</v>
      </c>
      <c r="U71" s="22">
        <v>17</v>
      </c>
      <c r="V71" s="22">
        <v>4.5</v>
      </c>
      <c r="W71" s="23">
        <v>2</v>
      </c>
      <c r="X71" s="24">
        <v>29.9</v>
      </c>
      <c r="Y71" s="23">
        <v>59.8</v>
      </c>
      <c r="Z71" s="25">
        <v>4999</v>
      </c>
      <c r="AA71" s="45" t="s">
        <v>674</v>
      </c>
      <c r="AB71" s="23" t="s">
        <v>32</v>
      </c>
      <c r="AC71" s="23" t="s">
        <v>32</v>
      </c>
      <c r="AD71" s="23" t="s">
        <v>105</v>
      </c>
      <c r="AE71" s="22" t="s">
        <v>105</v>
      </c>
      <c r="AF71" s="37">
        <v>11.32818</v>
      </c>
      <c r="AG71" s="27">
        <f t="shared" si="0"/>
        <v>5.6640899999999998</v>
      </c>
      <c r="AH71" s="27">
        <f t="shared" si="1"/>
        <v>35.56409</v>
      </c>
      <c r="AI71" s="23">
        <f t="shared" si="2"/>
        <v>71.12818</v>
      </c>
      <c r="AJ71" s="33"/>
    </row>
    <row r="72" spans="1:36" ht="14.4">
      <c r="A72" s="22" t="s">
        <v>291</v>
      </c>
      <c r="B72" s="22" t="s">
        <v>292</v>
      </c>
      <c r="C72" s="23" t="s">
        <v>569</v>
      </c>
      <c r="D72" s="23" t="s">
        <v>24</v>
      </c>
      <c r="E72" s="22" t="s">
        <v>48</v>
      </c>
      <c r="F72" s="23" t="s">
        <v>290</v>
      </c>
      <c r="G72" s="23" t="s">
        <v>615</v>
      </c>
      <c r="H72" s="22" t="s">
        <v>290</v>
      </c>
      <c r="I72" s="23" t="s">
        <v>268</v>
      </c>
      <c r="J72" s="23" t="s">
        <v>189</v>
      </c>
      <c r="K72" s="22" t="s">
        <v>28</v>
      </c>
      <c r="L72" s="22" t="s">
        <v>51</v>
      </c>
      <c r="M72" s="22" t="s">
        <v>616</v>
      </c>
      <c r="N72" s="28" t="s">
        <v>30</v>
      </c>
      <c r="O72" s="22">
        <v>1.2649999999999999</v>
      </c>
      <c r="P72" s="22">
        <v>80</v>
      </c>
      <c r="Q72" s="22" t="s">
        <v>52</v>
      </c>
      <c r="R72" s="22">
        <v>15</v>
      </c>
      <c r="S72" s="22">
        <v>4.6499999999999996E-3</v>
      </c>
      <c r="T72" s="22">
        <v>88</v>
      </c>
      <c r="U72" s="22">
        <v>16.5</v>
      </c>
      <c r="V72" s="22">
        <v>3.5</v>
      </c>
      <c r="W72" s="23">
        <v>5</v>
      </c>
      <c r="X72" s="24">
        <v>21</v>
      </c>
      <c r="Y72" s="23">
        <v>105</v>
      </c>
      <c r="Z72" s="25">
        <v>3599</v>
      </c>
      <c r="AA72" s="45" t="s">
        <v>675</v>
      </c>
      <c r="AB72" s="23" t="s">
        <v>32</v>
      </c>
      <c r="AC72" s="23" t="s">
        <v>32</v>
      </c>
      <c r="AD72" s="23" t="s">
        <v>105</v>
      </c>
      <c r="AE72" s="22" t="s">
        <v>105</v>
      </c>
      <c r="AF72" s="37">
        <v>19.890619999999998</v>
      </c>
      <c r="AG72" s="27">
        <f t="shared" si="0"/>
        <v>3.9781239999999998</v>
      </c>
      <c r="AH72" s="27">
        <f t="shared" si="1"/>
        <v>24.978124000000001</v>
      </c>
      <c r="AI72" s="23">
        <f t="shared" si="2"/>
        <v>124.89062000000001</v>
      </c>
      <c r="AJ72" s="33"/>
    </row>
    <row r="73" spans="1:36" ht="14.4">
      <c r="A73" s="22" t="s">
        <v>293</v>
      </c>
      <c r="B73" s="22" t="s">
        <v>294</v>
      </c>
      <c r="C73" s="23" t="s">
        <v>568</v>
      </c>
      <c r="D73" s="23" t="s">
        <v>24</v>
      </c>
      <c r="E73" s="22" t="s">
        <v>48</v>
      </c>
      <c r="F73" s="23" t="s">
        <v>290</v>
      </c>
      <c r="G73" s="23" t="s">
        <v>615</v>
      </c>
      <c r="H73" s="22" t="s">
        <v>290</v>
      </c>
      <c r="I73" s="23" t="s">
        <v>268</v>
      </c>
      <c r="J73" s="23" t="s">
        <v>186</v>
      </c>
      <c r="K73" s="22" t="s">
        <v>28</v>
      </c>
      <c r="L73" s="22" t="s">
        <v>51</v>
      </c>
      <c r="M73" s="22" t="s">
        <v>616</v>
      </c>
      <c r="N73" s="28" t="s">
        <v>30</v>
      </c>
      <c r="O73" s="22">
        <v>1.1559999999999999</v>
      </c>
      <c r="P73" s="22">
        <v>78</v>
      </c>
      <c r="Q73" s="22" t="s">
        <v>52</v>
      </c>
      <c r="R73" s="22">
        <v>15</v>
      </c>
      <c r="S73" s="22">
        <v>4.6499999999999996E-3</v>
      </c>
      <c r="T73" s="22">
        <v>86</v>
      </c>
      <c r="U73" s="22">
        <v>16</v>
      </c>
      <c r="V73" s="22">
        <v>3</v>
      </c>
      <c r="W73" s="23">
        <v>5</v>
      </c>
      <c r="X73" s="24">
        <v>21</v>
      </c>
      <c r="Y73" s="23">
        <v>105</v>
      </c>
      <c r="Z73" s="25">
        <v>3599</v>
      </c>
      <c r="AA73" s="45" t="s">
        <v>676</v>
      </c>
      <c r="AB73" s="23" t="s">
        <v>32</v>
      </c>
      <c r="AC73" s="23" t="s">
        <v>32</v>
      </c>
      <c r="AD73" s="23" t="s">
        <v>105</v>
      </c>
      <c r="AE73" s="22" t="s">
        <v>105</v>
      </c>
      <c r="AF73" s="37">
        <v>19.890619999999998</v>
      </c>
      <c r="AG73" s="27">
        <f t="shared" si="0"/>
        <v>3.9781239999999998</v>
      </c>
      <c r="AH73" s="27">
        <f t="shared" si="1"/>
        <v>24.978124000000001</v>
      </c>
      <c r="AI73" s="23">
        <f t="shared" si="2"/>
        <v>124.89062000000001</v>
      </c>
      <c r="AJ73" s="33"/>
    </row>
    <row r="74" spans="1:36" ht="14.4">
      <c r="A74" s="22" t="s">
        <v>295</v>
      </c>
      <c r="B74" s="22" t="s">
        <v>296</v>
      </c>
      <c r="C74" s="23" t="s">
        <v>570</v>
      </c>
      <c r="D74" s="23" t="s">
        <v>24</v>
      </c>
      <c r="E74" s="22" t="s">
        <v>48</v>
      </c>
      <c r="F74" s="23" t="s">
        <v>290</v>
      </c>
      <c r="G74" s="23" t="s">
        <v>615</v>
      </c>
      <c r="H74" s="22" t="s">
        <v>290</v>
      </c>
      <c r="I74" s="23" t="s">
        <v>268</v>
      </c>
      <c r="J74" s="23" t="s">
        <v>183</v>
      </c>
      <c r="K74" s="22" t="s">
        <v>28</v>
      </c>
      <c r="L74" s="22" t="s">
        <v>51</v>
      </c>
      <c r="M74" s="22" t="s">
        <v>616</v>
      </c>
      <c r="N74" s="28" t="s">
        <v>30</v>
      </c>
      <c r="O74" s="22">
        <v>1.0740000000000001</v>
      </c>
      <c r="P74" s="22">
        <v>74</v>
      </c>
      <c r="Q74" s="22" t="s">
        <v>52</v>
      </c>
      <c r="R74" s="22">
        <v>15</v>
      </c>
      <c r="S74" s="22">
        <v>4.6499999999999996E-3</v>
      </c>
      <c r="T74" s="22">
        <v>88</v>
      </c>
      <c r="U74" s="22">
        <v>15.5</v>
      </c>
      <c r="V74" s="22">
        <v>3</v>
      </c>
      <c r="W74" s="23">
        <v>5</v>
      </c>
      <c r="X74" s="24">
        <v>20.45</v>
      </c>
      <c r="Y74" s="23">
        <v>102.25</v>
      </c>
      <c r="Z74" s="25">
        <v>3499</v>
      </c>
      <c r="AA74" s="45" t="s">
        <v>677</v>
      </c>
      <c r="AB74" s="23" t="s">
        <v>32</v>
      </c>
      <c r="AC74" s="23" t="s">
        <v>32</v>
      </c>
      <c r="AD74" s="23" t="s">
        <v>105</v>
      </c>
      <c r="AE74" s="22" t="s">
        <v>105</v>
      </c>
      <c r="AF74" s="37">
        <v>19.369669999999999</v>
      </c>
      <c r="AG74" s="27">
        <f t="shared" si="0"/>
        <v>3.8739339999999998</v>
      </c>
      <c r="AH74" s="27">
        <f t="shared" si="1"/>
        <v>24.323933999999998</v>
      </c>
      <c r="AI74" s="23">
        <f t="shared" si="2"/>
        <v>121.61966999999999</v>
      </c>
      <c r="AJ74" s="33"/>
    </row>
    <row r="75" spans="1:36" ht="14.4">
      <c r="A75" s="22" t="s">
        <v>297</v>
      </c>
      <c r="B75" s="22" t="s">
        <v>298</v>
      </c>
      <c r="C75" s="23" t="s">
        <v>569</v>
      </c>
      <c r="D75" s="23" t="s">
        <v>24</v>
      </c>
      <c r="E75" s="22" t="s">
        <v>48</v>
      </c>
      <c r="F75" s="23" t="s">
        <v>299</v>
      </c>
      <c r="G75" s="23" t="s">
        <v>615</v>
      </c>
      <c r="H75" s="22" t="s">
        <v>299</v>
      </c>
      <c r="I75" s="23" t="s">
        <v>300</v>
      </c>
      <c r="J75" s="23" t="s">
        <v>189</v>
      </c>
      <c r="K75" s="22" t="s">
        <v>28</v>
      </c>
      <c r="L75" s="22" t="s">
        <v>51</v>
      </c>
      <c r="M75" s="22" t="s">
        <v>616</v>
      </c>
      <c r="N75" s="28" t="s">
        <v>30</v>
      </c>
      <c r="O75" s="22">
        <v>1.2649999999999999</v>
      </c>
      <c r="P75" s="22">
        <v>80</v>
      </c>
      <c r="Q75" s="22" t="s">
        <v>52</v>
      </c>
      <c r="R75" s="22">
        <v>15</v>
      </c>
      <c r="S75" s="22">
        <v>4.6499999999999996E-3</v>
      </c>
      <c r="T75" s="22">
        <v>88</v>
      </c>
      <c r="U75" s="22">
        <v>16.5</v>
      </c>
      <c r="V75" s="22">
        <v>3.5</v>
      </c>
      <c r="W75" s="23">
        <v>5</v>
      </c>
      <c r="X75" s="24">
        <v>16.45</v>
      </c>
      <c r="Y75" s="23">
        <v>82.25</v>
      </c>
      <c r="Z75" s="25">
        <v>0</v>
      </c>
      <c r="AA75" s="22" t="s">
        <v>644</v>
      </c>
      <c r="AB75" s="23" t="s">
        <v>32</v>
      </c>
      <c r="AC75" s="23" t="s">
        <v>32</v>
      </c>
      <c r="AD75" s="23" t="s">
        <v>105</v>
      </c>
      <c r="AE75" s="22" t="s">
        <v>105</v>
      </c>
      <c r="AF75" s="37">
        <v>15.58099</v>
      </c>
      <c r="AG75" s="27">
        <f t="shared" si="0"/>
        <v>3.1161979999999998</v>
      </c>
      <c r="AH75" s="27">
        <f t="shared" si="1"/>
        <v>19.566198</v>
      </c>
      <c r="AI75" s="23">
        <f t="shared" si="2"/>
        <v>97.83099</v>
      </c>
      <c r="AJ75" s="33"/>
    </row>
    <row r="76" spans="1:36" ht="14.4">
      <c r="A76" s="22" t="s">
        <v>301</v>
      </c>
      <c r="B76" s="22" t="s">
        <v>302</v>
      </c>
      <c r="C76" s="23" t="s">
        <v>568</v>
      </c>
      <c r="D76" s="23" t="s">
        <v>24</v>
      </c>
      <c r="E76" s="22" t="s">
        <v>48</v>
      </c>
      <c r="F76" s="23" t="s">
        <v>299</v>
      </c>
      <c r="G76" s="23" t="s">
        <v>615</v>
      </c>
      <c r="H76" s="22" t="s">
        <v>299</v>
      </c>
      <c r="I76" s="23" t="s">
        <v>300</v>
      </c>
      <c r="J76" s="23" t="s">
        <v>186</v>
      </c>
      <c r="K76" s="22" t="s">
        <v>28</v>
      </c>
      <c r="L76" s="22" t="s">
        <v>51</v>
      </c>
      <c r="M76" s="22" t="s">
        <v>616</v>
      </c>
      <c r="N76" s="28" t="s">
        <v>30</v>
      </c>
      <c r="O76" s="22">
        <v>1.1559999999999999</v>
      </c>
      <c r="P76" s="22">
        <v>78</v>
      </c>
      <c r="Q76" s="22" t="s">
        <v>52</v>
      </c>
      <c r="R76" s="22">
        <v>15</v>
      </c>
      <c r="S76" s="22">
        <v>4.6499999999999996E-3</v>
      </c>
      <c r="T76" s="22">
        <v>86</v>
      </c>
      <c r="U76" s="22">
        <v>16</v>
      </c>
      <c r="V76" s="22">
        <v>3</v>
      </c>
      <c r="W76" s="23">
        <v>5</v>
      </c>
      <c r="X76" s="24">
        <v>16.45</v>
      </c>
      <c r="Y76" s="23">
        <v>82.25</v>
      </c>
      <c r="Z76" s="25">
        <v>0</v>
      </c>
      <c r="AA76" s="22" t="s">
        <v>644</v>
      </c>
      <c r="AB76" s="23" t="s">
        <v>32</v>
      </c>
      <c r="AC76" s="23" t="s">
        <v>32</v>
      </c>
      <c r="AD76" s="23" t="s">
        <v>105</v>
      </c>
      <c r="AE76" s="22" t="s">
        <v>105</v>
      </c>
      <c r="AF76" s="37">
        <v>15.58099</v>
      </c>
      <c r="AG76" s="27">
        <f t="shared" si="0"/>
        <v>3.1161979999999998</v>
      </c>
      <c r="AH76" s="27">
        <f t="shared" si="1"/>
        <v>19.566198</v>
      </c>
      <c r="AI76" s="23">
        <f t="shared" si="2"/>
        <v>97.83099</v>
      </c>
      <c r="AJ76" s="33"/>
    </row>
    <row r="77" spans="1:36" ht="14.4">
      <c r="A77" s="22" t="s">
        <v>303</v>
      </c>
      <c r="B77" s="22" t="s">
        <v>304</v>
      </c>
      <c r="C77" s="23" t="s">
        <v>570</v>
      </c>
      <c r="D77" s="23" t="s">
        <v>24</v>
      </c>
      <c r="E77" s="22" t="s">
        <v>48</v>
      </c>
      <c r="F77" s="23" t="s">
        <v>299</v>
      </c>
      <c r="G77" s="23" t="s">
        <v>615</v>
      </c>
      <c r="H77" s="22" t="s">
        <v>299</v>
      </c>
      <c r="I77" s="23" t="s">
        <v>300</v>
      </c>
      <c r="J77" s="23" t="s">
        <v>183</v>
      </c>
      <c r="K77" s="22" t="s">
        <v>28</v>
      </c>
      <c r="L77" s="22" t="s">
        <v>51</v>
      </c>
      <c r="M77" s="22" t="s">
        <v>616</v>
      </c>
      <c r="N77" s="28" t="s">
        <v>30</v>
      </c>
      <c r="O77" s="22">
        <v>1.0740000000000001</v>
      </c>
      <c r="P77" s="22">
        <v>74</v>
      </c>
      <c r="Q77" s="22" t="s">
        <v>52</v>
      </c>
      <c r="R77" s="22">
        <v>15</v>
      </c>
      <c r="S77" s="22">
        <v>4.6499999999999996E-3</v>
      </c>
      <c r="T77" s="22">
        <v>80</v>
      </c>
      <c r="U77" s="22">
        <v>15.5</v>
      </c>
      <c r="V77" s="22">
        <v>3</v>
      </c>
      <c r="W77" s="23">
        <v>5</v>
      </c>
      <c r="X77" s="24">
        <v>15.85</v>
      </c>
      <c r="Y77" s="23">
        <v>79.25</v>
      </c>
      <c r="Z77" s="25">
        <v>0</v>
      </c>
      <c r="AA77" s="22" t="s">
        <v>644</v>
      </c>
      <c r="AB77" s="23" t="s">
        <v>32</v>
      </c>
      <c r="AC77" s="23" t="s">
        <v>32</v>
      </c>
      <c r="AD77" s="23" t="s">
        <v>105</v>
      </c>
      <c r="AE77" s="22" t="s">
        <v>105</v>
      </c>
      <c r="AF77" s="37">
        <v>15.01268</v>
      </c>
      <c r="AG77" s="27">
        <f t="shared" si="0"/>
        <v>3.0025360000000001</v>
      </c>
      <c r="AH77" s="27">
        <f t="shared" si="1"/>
        <v>18.852536000000001</v>
      </c>
      <c r="AI77" s="23">
        <f t="shared" si="2"/>
        <v>94.262680000000003</v>
      </c>
      <c r="AJ77" s="33"/>
    </row>
    <row r="78" spans="1:36" ht="14.4">
      <c r="A78" s="22" t="s">
        <v>305</v>
      </c>
      <c r="B78" s="22" t="s">
        <v>306</v>
      </c>
      <c r="C78" s="23" t="s">
        <v>571</v>
      </c>
      <c r="D78" s="23" t="s">
        <v>24</v>
      </c>
      <c r="E78" s="22" t="s">
        <v>48</v>
      </c>
      <c r="F78" s="23" t="s">
        <v>299</v>
      </c>
      <c r="G78" s="23" t="s">
        <v>615</v>
      </c>
      <c r="H78" s="22" t="s">
        <v>299</v>
      </c>
      <c r="I78" s="23" t="s">
        <v>300</v>
      </c>
      <c r="J78" s="23" t="s">
        <v>180</v>
      </c>
      <c r="K78" s="22" t="s">
        <v>28</v>
      </c>
      <c r="L78" s="22" t="s">
        <v>51</v>
      </c>
      <c r="M78" s="22" t="s">
        <v>616</v>
      </c>
      <c r="N78" s="28" t="s">
        <v>30</v>
      </c>
      <c r="O78" s="22">
        <v>0.95599999999999996</v>
      </c>
      <c r="P78" s="22">
        <v>72</v>
      </c>
      <c r="Q78" s="22" t="s">
        <v>52</v>
      </c>
      <c r="R78" s="22">
        <v>15</v>
      </c>
      <c r="S78" s="22">
        <v>4.6499999999999996E-3</v>
      </c>
      <c r="T78" s="22">
        <v>79</v>
      </c>
      <c r="U78" s="22">
        <v>15</v>
      </c>
      <c r="V78" s="22">
        <v>2.5</v>
      </c>
      <c r="W78" s="23">
        <v>5</v>
      </c>
      <c r="X78" s="24">
        <v>15.85</v>
      </c>
      <c r="Y78" s="23">
        <v>79.25</v>
      </c>
      <c r="Z78" s="25">
        <v>0</v>
      </c>
      <c r="AA78" s="22" t="s">
        <v>644</v>
      </c>
      <c r="AB78" s="23" t="s">
        <v>32</v>
      </c>
      <c r="AC78" s="23" t="s">
        <v>32</v>
      </c>
      <c r="AD78" s="23" t="s">
        <v>105</v>
      </c>
      <c r="AE78" s="22" t="s">
        <v>105</v>
      </c>
      <c r="AF78" s="37">
        <v>15.01268</v>
      </c>
      <c r="AG78" s="27">
        <f t="shared" si="0"/>
        <v>3.0025360000000001</v>
      </c>
      <c r="AH78" s="27">
        <f t="shared" si="1"/>
        <v>18.852536000000001</v>
      </c>
      <c r="AI78" s="23">
        <f t="shared" si="2"/>
        <v>94.262680000000003</v>
      </c>
      <c r="AJ78" s="33"/>
    </row>
    <row r="79" spans="1:36" ht="14.4">
      <c r="A79" s="22" t="s">
        <v>307</v>
      </c>
      <c r="B79" s="22" t="s">
        <v>308</v>
      </c>
      <c r="C79" s="23" t="s">
        <v>573</v>
      </c>
      <c r="D79" s="23" t="s">
        <v>24</v>
      </c>
      <c r="E79" s="22" t="s">
        <v>48</v>
      </c>
      <c r="F79" s="23" t="s">
        <v>299</v>
      </c>
      <c r="G79" s="23" t="s">
        <v>615</v>
      </c>
      <c r="H79" s="22" t="s">
        <v>299</v>
      </c>
      <c r="I79" s="23" t="s">
        <v>300</v>
      </c>
      <c r="J79" s="23" t="s">
        <v>309</v>
      </c>
      <c r="K79" s="22" t="s">
        <v>28</v>
      </c>
      <c r="L79" s="22" t="s">
        <v>51</v>
      </c>
      <c r="M79" s="22" t="s">
        <v>616</v>
      </c>
      <c r="N79" s="28" t="s">
        <v>30</v>
      </c>
      <c r="O79" s="22">
        <v>0.85399999999999998</v>
      </c>
      <c r="P79" s="22">
        <v>68</v>
      </c>
      <c r="Q79" s="22" t="s">
        <v>52</v>
      </c>
      <c r="R79" s="22">
        <v>20</v>
      </c>
      <c r="S79" s="22">
        <v>3.49E-3</v>
      </c>
      <c r="T79" s="22">
        <v>75</v>
      </c>
      <c r="U79" s="22">
        <v>14</v>
      </c>
      <c r="V79" s="22">
        <v>2.5</v>
      </c>
      <c r="W79" s="23">
        <v>5</v>
      </c>
      <c r="X79" s="24">
        <v>12.7</v>
      </c>
      <c r="Y79" s="23">
        <v>63.5</v>
      </c>
      <c r="Z79" s="25">
        <v>0</v>
      </c>
      <c r="AA79" s="22" t="s">
        <v>644</v>
      </c>
      <c r="AB79" s="23" t="s">
        <v>32</v>
      </c>
      <c r="AC79" s="23" t="s">
        <v>32</v>
      </c>
      <c r="AD79" s="23" t="s">
        <v>105</v>
      </c>
      <c r="AE79" s="22" t="s">
        <v>105</v>
      </c>
      <c r="AF79" s="37">
        <v>12.02909</v>
      </c>
      <c r="AG79" s="27">
        <f t="shared" si="0"/>
        <v>2.405818</v>
      </c>
      <c r="AH79" s="27">
        <f t="shared" si="1"/>
        <v>15.105817999999999</v>
      </c>
      <c r="AI79" s="23">
        <f t="shared" si="2"/>
        <v>75.529089999999997</v>
      </c>
      <c r="AJ79" s="33"/>
    </row>
    <row r="80" spans="1:36" ht="14.4">
      <c r="A80" s="22" t="s">
        <v>310</v>
      </c>
      <c r="B80" s="22" t="s">
        <v>311</v>
      </c>
      <c r="C80" s="23" t="s">
        <v>574</v>
      </c>
      <c r="D80" s="23" t="s">
        <v>24</v>
      </c>
      <c r="E80" s="22" t="s">
        <v>48</v>
      </c>
      <c r="F80" s="23" t="s">
        <v>299</v>
      </c>
      <c r="G80" s="23" t="s">
        <v>615</v>
      </c>
      <c r="H80" s="22" t="s">
        <v>299</v>
      </c>
      <c r="I80" s="23" t="s">
        <v>300</v>
      </c>
      <c r="J80" s="23" t="s">
        <v>312</v>
      </c>
      <c r="K80" s="22" t="s">
        <v>28</v>
      </c>
      <c r="L80" s="22" t="s">
        <v>51</v>
      </c>
      <c r="M80" s="22" t="s">
        <v>616</v>
      </c>
      <c r="N80" s="28" t="s">
        <v>30</v>
      </c>
      <c r="O80" s="22">
        <v>0.751</v>
      </c>
      <c r="P80" s="22">
        <v>65</v>
      </c>
      <c r="Q80" s="22" t="s">
        <v>52</v>
      </c>
      <c r="R80" s="22">
        <v>25</v>
      </c>
      <c r="S80" s="22">
        <v>2.7899999999999999E-3</v>
      </c>
      <c r="T80" s="22">
        <v>71</v>
      </c>
      <c r="U80" s="22">
        <v>14</v>
      </c>
      <c r="V80" s="22">
        <v>2.5</v>
      </c>
      <c r="W80" s="23">
        <v>5</v>
      </c>
      <c r="X80" s="24">
        <v>12.7</v>
      </c>
      <c r="Y80" s="23">
        <v>63.5</v>
      </c>
      <c r="Z80" s="25">
        <v>0</v>
      </c>
      <c r="AA80" s="22" t="s">
        <v>644</v>
      </c>
      <c r="AB80" s="23" t="s">
        <v>32</v>
      </c>
      <c r="AC80" s="23" t="s">
        <v>32</v>
      </c>
      <c r="AD80" s="23" t="s">
        <v>105</v>
      </c>
      <c r="AE80" s="22" t="s">
        <v>105</v>
      </c>
      <c r="AF80" s="37">
        <v>12.02909</v>
      </c>
      <c r="AG80" s="27">
        <f t="shared" si="0"/>
        <v>2.405818</v>
      </c>
      <c r="AH80" s="27">
        <f t="shared" si="1"/>
        <v>15.105817999999999</v>
      </c>
      <c r="AI80" s="23">
        <f t="shared" si="2"/>
        <v>75.529089999999997</v>
      </c>
      <c r="AJ80" s="33"/>
    </row>
    <row r="81" spans="1:36" ht="14.4">
      <c r="A81" s="22" t="s">
        <v>313</v>
      </c>
      <c r="B81" s="22" t="s">
        <v>314</v>
      </c>
      <c r="C81" s="23" t="s">
        <v>567</v>
      </c>
      <c r="D81" s="23" t="s">
        <v>24</v>
      </c>
      <c r="E81" s="22" t="s">
        <v>48</v>
      </c>
      <c r="F81" s="23" t="s">
        <v>315</v>
      </c>
      <c r="G81" s="23" t="s">
        <v>615</v>
      </c>
      <c r="H81" s="22" t="s">
        <v>315</v>
      </c>
      <c r="I81" s="23" t="s">
        <v>316</v>
      </c>
      <c r="J81" s="23" t="s">
        <v>50</v>
      </c>
      <c r="K81" s="22" t="s">
        <v>28</v>
      </c>
      <c r="L81" s="22" t="s">
        <v>51</v>
      </c>
      <c r="M81" s="22" t="s">
        <v>616</v>
      </c>
      <c r="N81" s="28" t="s">
        <v>30</v>
      </c>
      <c r="O81" s="22">
        <v>1.68</v>
      </c>
      <c r="P81" s="22">
        <v>85</v>
      </c>
      <c r="Q81" s="22" t="s">
        <v>52</v>
      </c>
      <c r="R81" s="22">
        <v>15</v>
      </c>
      <c r="S81" s="22">
        <v>5.7000000000000002E-3</v>
      </c>
      <c r="T81" s="22">
        <v>97</v>
      </c>
      <c r="U81" s="22">
        <v>18</v>
      </c>
      <c r="V81" s="22">
        <v>4</v>
      </c>
      <c r="W81" s="23">
        <v>5</v>
      </c>
      <c r="X81" s="24">
        <v>14.35</v>
      </c>
      <c r="Y81" s="23">
        <v>71.75</v>
      </c>
      <c r="Z81" s="25">
        <v>2499</v>
      </c>
      <c r="AA81" s="45" t="s">
        <v>678</v>
      </c>
      <c r="AB81" s="23" t="s">
        <v>32</v>
      </c>
      <c r="AC81" s="23" t="s">
        <v>32</v>
      </c>
      <c r="AD81" s="23" t="s">
        <v>105</v>
      </c>
      <c r="AE81" s="22" t="s">
        <v>105</v>
      </c>
      <c r="AF81" s="37">
        <v>13.59192</v>
      </c>
      <c r="AG81" s="27">
        <f t="shared" si="0"/>
        <v>2.7183839999999999</v>
      </c>
      <c r="AH81" s="27">
        <f t="shared" si="1"/>
        <v>17.068383999999998</v>
      </c>
      <c r="AI81" s="23">
        <f t="shared" si="2"/>
        <v>85.341919999999988</v>
      </c>
      <c r="AJ81" s="33"/>
    </row>
    <row r="82" spans="1:36" ht="14.4">
      <c r="A82" s="22" t="s">
        <v>317</v>
      </c>
      <c r="B82" s="22" t="s">
        <v>318</v>
      </c>
      <c r="C82" s="23" t="s">
        <v>567</v>
      </c>
      <c r="D82" s="23" t="s">
        <v>24</v>
      </c>
      <c r="E82" s="22" t="s">
        <v>48</v>
      </c>
      <c r="F82" s="23" t="s">
        <v>319</v>
      </c>
      <c r="G82" s="23" t="s">
        <v>615</v>
      </c>
      <c r="H82" s="22" t="s">
        <v>319</v>
      </c>
      <c r="I82" s="23" t="s">
        <v>320</v>
      </c>
      <c r="J82" s="23" t="s">
        <v>50</v>
      </c>
      <c r="K82" s="22" t="s">
        <v>28</v>
      </c>
      <c r="L82" s="22" t="s">
        <v>51</v>
      </c>
      <c r="M82" s="22" t="s">
        <v>616</v>
      </c>
      <c r="N82" s="28" t="s">
        <v>30</v>
      </c>
      <c r="O82" s="22">
        <v>1.2</v>
      </c>
      <c r="P82" s="22">
        <v>90</v>
      </c>
      <c r="Q82" s="22" t="s">
        <v>52</v>
      </c>
      <c r="R82" s="22">
        <v>15</v>
      </c>
      <c r="S82" s="22">
        <v>5.7000000000000002E-3</v>
      </c>
      <c r="T82" s="22">
        <v>89</v>
      </c>
      <c r="U82" s="22">
        <v>31</v>
      </c>
      <c r="V82" s="22">
        <v>31</v>
      </c>
      <c r="W82" s="23">
        <v>5</v>
      </c>
      <c r="X82" s="24">
        <v>17.649999999999999</v>
      </c>
      <c r="Y82" s="23">
        <v>88.25</v>
      </c>
      <c r="Z82" s="25">
        <v>2999</v>
      </c>
      <c r="AA82" s="45" t="s">
        <v>679</v>
      </c>
      <c r="AB82" s="23" t="s">
        <v>32</v>
      </c>
      <c r="AC82" s="23" t="s">
        <v>32</v>
      </c>
      <c r="AD82" s="23" t="s">
        <v>105</v>
      </c>
      <c r="AE82" s="22" t="s">
        <v>105</v>
      </c>
      <c r="AF82" s="37">
        <v>16.717590000000001</v>
      </c>
      <c r="AG82" s="27">
        <f t="shared" si="0"/>
        <v>3.3435180000000004</v>
      </c>
      <c r="AH82" s="27">
        <f t="shared" si="1"/>
        <v>20.993517999999998</v>
      </c>
      <c r="AI82" s="23">
        <f t="shared" si="2"/>
        <v>104.96758999999999</v>
      </c>
      <c r="AJ82" s="33"/>
    </row>
    <row r="83" spans="1:36" ht="14.4">
      <c r="A83" s="22" t="s">
        <v>321</v>
      </c>
      <c r="B83" s="22" t="s">
        <v>322</v>
      </c>
      <c r="C83" s="23" t="s">
        <v>567</v>
      </c>
      <c r="D83" s="23" t="s">
        <v>24</v>
      </c>
      <c r="E83" s="22" t="s">
        <v>48</v>
      </c>
      <c r="F83" s="23" t="s">
        <v>323</v>
      </c>
      <c r="G83" s="23" t="s">
        <v>632</v>
      </c>
      <c r="H83" s="22" t="s">
        <v>323</v>
      </c>
      <c r="I83" s="23" t="s">
        <v>324</v>
      </c>
      <c r="J83" s="23" t="s">
        <v>50</v>
      </c>
      <c r="K83" s="22" t="s">
        <v>28</v>
      </c>
      <c r="L83" s="22" t="s">
        <v>51</v>
      </c>
      <c r="M83" s="22" t="s">
        <v>616</v>
      </c>
      <c r="N83" s="28" t="s">
        <v>30</v>
      </c>
      <c r="O83" s="22">
        <v>1.2</v>
      </c>
      <c r="P83" s="22">
        <v>85</v>
      </c>
      <c r="Q83" s="22" t="s">
        <v>52</v>
      </c>
      <c r="R83" s="22">
        <v>15</v>
      </c>
      <c r="S83" s="22">
        <v>5.7000000000000002E-3</v>
      </c>
      <c r="T83" s="22">
        <v>89</v>
      </c>
      <c r="U83" s="22">
        <v>31</v>
      </c>
      <c r="V83" s="22">
        <v>31</v>
      </c>
      <c r="W83" s="23">
        <v>2</v>
      </c>
      <c r="X83" s="24">
        <v>35.25</v>
      </c>
      <c r="Y83" s="23">
        <v>70.5</v>
      </c>
      <c r="Z83" s="25">
        <v>0</v>
      </c>
      <c r="AA83" s="22" t="s">
        <v>644</v>
      </c>
      <c r="AB83" s="23" t="s">
        <v>32</v>
      </c>
      <c r="AC83" s="23" t="s">
        <v>32</v>
      </c>
      <c r="AD83" s="23" t="s">
        <v>105</v>
      </c>
      <c r="AE83" s="22" t="s">
        <v>105</v>
      </c>
      <c r="AF83" s="37">
        <v>13.355130000000001</v>
      </c>
      <c r="AG83" s="27">
        <f t="shared" si="0"/>
        <v>6.6775650000000004</v>
      </c>
      <c r="AH83" s="27">
        <f t="shared" si="1"/>
        <v>41.927565000000001</v>
      </c>
      <c r="AI83" s="23">
        <f t="shared" si="2"/>
        <v>83.855130000000003</v>
      </c>
      <c r="AJ83" s="33"/>
    </row>
    <row r="84" spans="1:36" ht="14.4">
      <c r="A84" s="22" t="s">
        <v>325</v>
      </c>
      <c r="B84" s="22" t="s">
        <v>326</v>
      </c>
      <c r="C84" s="23" t="s">
        <v>569</v>
      </c>
      <c r="D84" s="23" t="s">
        <v>24</v>
      </c>
      <c r="E84" s="22" t="s">
        <v>48</v>
      </c>
      <c r="F84" s="23" t="s">
        <v>323</v>
      </c>
      <c r="G84" s="23" t="s">
        <v>632</v>
      </c>
      <c r="H84" s="22" t="s">
        <v>323</v>
      </c>
      <c r="I84" s="23" t="s">
        <v>324</v>
      </c>
      <c r="J84" s="23" t="s">
        <v>189</v>
      </c>
      <c r="K84" s="22" t="s">
        <v>28</v>
      </c>
      <c r="L84" s="22" t="s">
        <v>51</v>
      </c>
      <c r="M84" s="22" t="s">
        <v>616</v>
      </c>
      <c r="N84" s="28" t="s">
        <v>30</v>
      </c>
      <c r="O84" s="22">
        <v>1.1000000000000001</v>
      </c>
      <c r="P84" s="22">
        <v>80</v>
      </c>
      <c r="Q84" s="22" t="s">
        <v>52</v>
      </c>
      <c r="R84" s="22">
        <v>15</v>
      </c>
      <c r="S84" s="22">
        <v>4.6499999999999996E-3</v>
      </c>
      <c r="T84" s="22">
        <v>89</v>
      </c>
      <c r="U84" s="22">
        <v>28</v>
      </c>
      <c r="V84" s="22">
        <v>28</v>
      </c>
      <c r="W84" s="23">
        <v>2</v>
      </c>
      <c r="X84" s="24">
        <v>25.3</v>
      </c>
      <c r="Y84" s="23">
        <v>50.6</v>
      </c>
      <c r="Z84" s="25">
        <v>0</v>
      </c>
      <c r="AA84" s="22" t="s">
        <v>644</v>
      </c>
      <c r="AB84" s="23" t="s">
        <v>32</v>
      </c>
      <c r="AC84" s="23" t="s">
        <v>32</v>
      </c>
      <c r="AD84" s="23" t="s">
        <v>105</v>
      </c>
      <c r="AE84" s="22" t="s">
        <v>105</v>
      </c>
      <c r="AF84" s="37">
        <v>9.5853800000000007</v>
      </c>
      <c r="AG84" s="27">
        <f t="shared" si="0"/>
        <v>4.7926900000000003</v>
      </c>
      <c r="AH84" s="27">
        <f t="shared" si="1"/>
        <v>30.092690000000001</v>
      </c>
      <c r="AI84" s="23">
        <f t="shared" si="2"/>
        <v>60.185380000000002</v>
      </c>
      <c r="AJ84" s="33"/>
    </row>
    <row r="85" spans="1:36" ht="14.4">
      <c r="A85" s="22" t="s">
        <v>327</v>
      </c>
      <c r="B85" s="22" t="s">
        <v>328</v>
      </c>
      <c r="C85" s="23" t="s">
        <v>568</v>
      </c>
      <c r="D85" s="23" t="s">
        <v>24</v>
      </c>
      <c r="E85" s="22" t="s">
        <v>48</v>
      </c>
      <c r="F85" s="23" t="s">
        <v>323</v>
      </c>
      <c r="G85" s="23" t="s">
        <v>632</v>
      </c>
      <c r="H85" s="22" t="s">
        <v>323</v>
      </c>
      <c r="I85" s="23" t="s">
        <v>324</v>
      </c>
      <c r="J85" s="23" t="s">
        <v>186</v>
      </c>
      <c r="K85" s="22" t="s">
        <v>28</v>
      </c>
      <c r="L85" s="22" t="s">
        <v>51</v>
      </c>
      <c r="M85" s="22" t="s">
        <v>616</v>
      </c>
      <c r="N85" s="28" t="s">
        <v>30</v>
      </c>
      <c r="O85" s="22">
        <v>1</v>
      </c>
      <c r="P85" s="22">
        <v>78</v>
      </c>
      <c r="Q85" s="22" t="s">
        <v>52</v>
      </c>
      <c r="R85" s="22">
        <v>15</v>
      </c>
      <c r="S85" s="22">
        <v>4.6499999999999996E-3</v>
      </c>
      <c r="T85" s="22">
        <v>89</v>
      </c>
      <c r="U85" s="22">
        <v>28</v>
      </c>
      <c r="V85" s="22">
        <v>28</v>
      </c>
      <c r="W85" s="23">
        <v>2</v>
      </c>
      <c r="X85" s="24">
        <v>25.3</v>
      </c>
      <c r="Y85" s="23">
        <v>50.6</v>
      </c>
      <c r="Z85" s="25">
        <v>0</v>
      </c>
      <c r="AA85" s="22" t="s">
        <v>644</v>
      </c>
      <c r="AB85" s="23" t="s">
        <v>32</v>
      </c>
      <c r="AC85" s="23" t="s">
        <v>32</v>
      </c>
      <c r="AD85" s="23" t="s">
        <v>105</v>
      </c>
      <c r="AE85" s="22" t="s">
        <v>105</v>
      </c>
      <c r="AF85" s="37">
        <v>9.5853800000000007</v>
      </c>
      <c r="AG85" s="27">
        <f t="shared" si="0"/>
        <v>4.7926900000000003</v>
      </c>
      <c r="AH85" s="27">
        <f t="shared" si="1"/>
        <v>30.092690000000001</v>
      </c>
      <c r="AI85" s="23">
        <f t="shared" si="2"/>
        <v>60.185380000000002</v>
      </c>
      <c r="AJ85" s="33"/>
    </row>
    <row r="86" spans="1:36" ht="14.4">
      <c r="A86" s="22" t="s">
        <v>329</v>
      </c>
      <c r="B86" s="22" t="s">
        <v>330</v>
      </c>
      <c r="C86" s="23" t="s">
        <v>570</v>
      </c>
      <c r="D86" s="23" t="s">
        <v>24</v>
      </c>
      <c r="E86" s="22" t="s">
        <v>48</v>
      </c>
      <c r="F86" s="23" t="s">
        <v>323</v>
      </c>
      <c r="G86" s="23" t="s">
        <v>632</v>
      </c>
      <c r="H86" s="22" t="s">
        <v>323</v>
      </c>
      <c r="I86" s="23" t="s">
        <v>324</v>
      </c>
      <c r="J86" s="23" t="s">
        <v>183</v>
      </c>
      <c r="K86" s="22" t="s">
        <v>28</v>
      </c>
      <c r="L86" s="22" t="s">
        <v>51</v>
      </c>
      <c r="M86" s="22" t="s">
        <v>616</v>
      </c>
      <c r="N86" s="28" t="s">
        <v>30</v>
      </c>
      <c r="O86" s="22">
        <v>0.9</v>
      </c>
      <c r="P86" s="22">
        <v>74</v>
      </c>
      <c r="Q86" s="22" t="s">
        <v>52</v>
      </c>
      <c r="R86" s="22">
        <v>15</v>
      </c>
      <c r="S86" s="22">
        <v>4.6499999999999996E-3</v>
      </c>
      <c r="T86" s="22">
        <v>89</v>
      </c>
      <c r="U86" s="22">
        <v>28</v>
      </c>
      <c r="V86" s="22">
        <v>28</v>
      </c>
      <c r="W86" s="23">
        <v>2</v>
      </c>
      <c r="X86" s="24">
        <v>24.75</v>
      </c>
      <c r="Y86" s="23">
        <v>49.5</v>
      </c>
      <c r="Z86" s="25">
        <v>0</v>
      </c>
      <c r="AA86" s="22" t="s">
        <v>644</v>
      </c>
      <c r="AB86" s="23" t="s">
        <v>32</v>
      </c>
      <c r="AC86" s="23" t="s">
        <v>32</v>
      </c>
      <c r="AD86" s="23" t="s">
        <v>105</v>
      </c>
      <c r="AE86" s="22" t="s">
        <v>105</v>
      </c>
      <c r="AF86" s="37">
        <v>9.3770100000000003</v>
      </c>
      <c r="AG86" s="27">
        <f t="shared" si="0"/>
        <v>4.6885050000000001</v>
      </c>
      <c r="AH86" s="27">
        <f t="shared" si="1"/>
        <v>29.438504999999999</v>
      </c>
      <c r="AI86" s="23">
        <f t="shared" si="2"/>
        <v>58.877009999999999</v>
      </c>
      <c r="AJ86" s="33"/>
    </row>
    <row r="87" spans="1:36" ht="14.4">
      <c r="A87" s="22" t="s">
        <v>331</v>
      </c>
      <c r="B87" s="22" t="s">
        <v>332</v>
      </c>
      <c r="C87" s="23" t="s">
        <v>569</v>
      </c>
      <c r="D87" s="23" t="s">
        <v>24</v>
      </c>
      <c r="E87" s="22" t="s">
        <v>48</v>
      </c>
      <c r="F87" s="23" t="s">
        <v>333</v>
      </c>
      <c r="G87" s="23" t="s">
        <v>615</v>
      </c>
      <c r="H87" s="22" t="s">
        <v>333</v>
      </c>
      <c r="I87" s="23" t="s">
        <v>229</v>
      </c>
      <c r="J87" s="23" t="s">
        <v>189</v>
      </c>
      <c r="K87" s="22" t="s">
        <v>28</v>
      </c>
      <c r="L87" s="22" t="s">
        <v>51</v>
      </c>
      <c r="M87" s="22" t="s">
        <v>616</v>
      </c>
      <c r="N87" s="28" t="s">
        <v>30</v>
      </c>
      <c r="O87" s="22">
        <v>1.1000000000000001</v>
      </c>
      <c r="P87" s="22">
        <v>80</v>
      </c>
      <c r="Q87" s="22" t="s">
        <v>52</v>
      </c>
      <c r="R87" s="22">
        <v>15</v>
      </c>
      <c r="S87" s="22">
        <v>4.6499999999999996E-3</v>
      </c>
      <c r="T87" s="22">
        <v>89</v>
      </c>
      <c r="U87" s="22">
        <v>28</v>
      </c>
      <c r="V87" s="22">
        <v>28</v>
      </c>
      <c r="W87" s="23">
        <v>2</v>
      </c>
      <c r="X87" s="24">
        <v>25.3</v>
      </c>
      <c r="Y87" s="23">
        <v>50.6</v>
      </c>
      <c r="Z87" s="25">
        <v>0</v>
      </c>
      <c r="AA87" s="22" t="s">
        <v>644</v>
      </c>
      <c r="AB87" s="29">
        <v>749</v>
      </c>
      <c r="AC87" s="48" t="s">
        <v>680</v>
      </c>
      <c r="AD87" s="23" t="s">
        <v>105</v>
      </c>
      <c r="AE87" s="22" t="s">
        <v>105</v>
      </c>
      <c r="AF87" s="37">
        <v>9.5853800000000007</v>
      </c>
      <c r="AG87" s="27">
        <f t="shared" si="0"/>
        <v>4.7926900000000003</v>
      </c>
      <c r="AH87" s="27">
        <f t="shared" si="1"/>
        <v>30.092690000000001</v>
      </c>
      <c r="AI87" s="23">
        <f t="shared" si="2"/>
        <v>60.185380000000002</v>
      </c>
      <c r="AJ87" s="33"/>
    </row>
    <row r="88" spans="1:36" ht="14.4">
      <c r="A88" s="22" t="s">
        <v>334</v>
      </c>
      <c r="B88" s="22" t="s">
        <v>335</v>
      </c>
      <c r="C88" s="23" t="s">
        <v>568</v>
      </c>
      <c r="D88" s="23" t="s">
        <v>24</v>
      </c>
      <c r="E88" s="22" t="s">
        <v>48</v>
      </c>
      <c r="F88" s="23" t="s">
        <v>333</v>
      </c>
      <c r="G88" s="23" t="s">
        <v>615</v>
      </c>
      <c r="H88" s="22" t="s">
        <v>333</v>
      </c>
      <c r="I88" s="23" t="s">
        <v>229</v>
      </c>
      <c r="J88" s="23" t="s">
        <v>186</v>
      </c>
      <c r="K88" s="22" t="s">
        <v>28</v>
      </c>
      <c r="L88" s="22" t="s">
        <v>51</v>
      </c>
      <c r="M88" s="22" t="s">
        <v>616</v>
      </c>
      <c r="N88" s="28" t="s">
        <v>30</v>
      </c>
      <c r="O88" s="22">
        <v>1</v>
      </c>
      <c r="P88" s="22">
        <v>78</v>
      </c>
      <c r="Q88" s="22" t="s">
        <v>52</v>
      </c>
      <c r="R88" s="22">
        <v>15</v>
      </c>
      <c r="S88" s="22">
        <v>4.6499999999999996E-3</v>
      </c>
      <c r="T88" s="22">
        <v>89</v>
      </c>
      <c r="U88" s="22">
        <v>28</v>
      </c>
      <c r="V88" s="22">
        <v>28</v>
      </c>
      <c r="W88" s="23">
        <v>2</v>
      </c>
      <c r="X88" s="24">
        <v>25.3</v>
      </c>
      <c r="Y88" s="23">
        <v>50.6</v>
      </c>
      <c r="Z88" s="25">
        <v>0</v>
      </c>
      <c r="AA88" s="22" t="s">
        <v>644</v>
      </c>
      <c r="AB88" s="29">
        <v>749</v>
      </c>
      <c r="AC88" s="48" t="s">
        <v>680</v>
      </c>
      <c r="AD88" s="23" t="s">
        <v>105</v>
      </c>
      <c r="AE88" s="22" t="s">
        <v>105</v>
      </c>
      <c r="AF88" s="37">
        <v>9.5853800000000007</v>
      </c>
      <c r="AG88" s="27">
        <f t="shared" si="0"/>
        <v>4.7926900000000003</v>
      </c>
      <c r="AH88" s="27">
        <f t="shared" si="1"/>
        <v>30.092690000000001</v>
      </c>
      <c r="AI88" s="23">
        <f t="shared" si="2"/>
        <v>60.185380000000002</v>
      </c>
      <c r="AJ88" s="33"/>
    </row>
    <row r="89" spans="1:36" ht="14.4">
      <c r="A89" s="22" t="s">
        <v>336</v>
      </c>
      <c r="B89" s="22" t="s">
        <v>337</v>
      </c>
      <c r="C89" s="23" t="s">
        <v>570</v>
      </c>
      <c r="D89" s="23" t="s">
        <v>24</v>
      </c>
      <c r="E89" s="22" t="s">
        <v>48</v>
      </c>
      <c r="F89" s="23" t="s">
        <v>333</v>
      </c>
      <c r="G89" s="23" t="s">
        <v>615</v>
      </c>
      <c r="H89" s="22" t="s">
        <v>333</v>
      </c>
      <c r="I89" s="23" t="s">
        <v>229</v>
      </c>
      <c r="J89" s="23" t="s">
        <v>183</v>
      </c>
      <c r="K89" s="22" t="s">
        <v>28</v>
      </c>
      <c r="L89" s="22" t="s">
        <v>51</v>
      </c>
      <c r="M89" s="22" t="s">
        <v>616</v>
      </c>
      <c r="N89" s="28" t="s">
        <v>30</v>
      </c>
      <c r="O89" s="22">
        <v>0.9</v>
      </c>
      <c r="P89" s="22">
        <v>74</v>
      </c>
      <c r="Q89" s="22" t="s">
        <v>52</v>
      </c>
      <c r="R89" s="22">
        <v>15</v>
      </c>
      <c r="S89" s="22">
        <v>4.6499999999999996E-3</v>
      </c>
      <c r="T89" s="22">
        <v>89</v>
      </c>
      <c r="U89" s="22">
        <v>28</v>
      </c>
      <c r="V89" s="22">
        <v>28</v>
      </c>
      <c r="W89" s="23">
        <v>2</v>
      </c>
      <c r="X89" s="24">
        <v>24.75</v>
      </c>
      <c r="Y89" s="23">
        <v>49.5</v>
      </c>
      <c r="Z89" s="25">
        <v>0</v>
      </c>
      <c r="AA89" s="22" t="s">
        <v>644</v>
      </c>
      <c r="AB89" s="29">
        <v>749</v>
      </c>
      <c r="AC89" s="48" t="s">
        <v>680</v>
      </c>
      <c r="AD89" s="23" t="s">
        <v>105</v>
      </c>
      <c r="AE89" s="22" t="s">
        <v>105</v>
      </c>
      <c r="AF89" s="37">
        <v>9.3770100000000003</v>
      </c>
      <c r="AG89" s="27">
        <f t="shared" si="0"/>
        <v>4.6885050000000001</v>
      </c>
      <c r="AH89" s="27">
        <f t="shared" si="1"/>
        <v>29.438504999999999</v>
      </c>
      <c r="AI89" s="23">
        <f t="shared" si="2"/>
        <v>58.877009999999999</v>
      </c>
      <c r="AJ89" s="33"/>
    </row>
    <row r="90" spans="1:36" ht="14.4">
      <c r="A90" s="22" t="s">
        <v>338</v>
      </c>
      <c r="B90" s="22" t="s">
        <v>584</v>
      </c>
      <c r="C90" s="23" t="s">
        <v>569</v>
      </c>
      <c r="D90" s="23" t="s">
        <v>341</v>
      </c>
      <c r="E90" s="22" t="s">
        <v>340</v>
      </c>
      <c r="F90" s="23" t="s">
        <v>342</v>
      </c>
      <c r="G90" s="23" t="s">
        <v>615</v>
      </c>
      <c r="H90" s="22" t="s">
        <v>342</v>
      </c>
      <c r="I90" s="23" t="s">
        <v>343</v>
      </c>
      <c r="J90" s="23" t="s">
        <v>189</v>
      </c>
      <c r="K90" s="22" t="s">
        <v>28</v>
      </c>
      <c r="L90" s="22" t="s">
        <v>51</v>
      </c>
      <c r="M90" s="22" t="s">
        <v>627</v>
      </c>
      <c r="N90" s="28" t="s">
        <v>84</v>
      </c>
      <c r="O90" s="22">
        <v>0.96</v>
      </c>
      <c r="P90" s="22">
        <v>25.4</v>
      </c>
      <c r="Q90" s="22" t="s">
        <v>52</v>
      </c>
      <c r="R90" s="22">
        <v>15</v>
      </c>
      <c r="S90" s="22">
        <v>1.196E-2</v>
      </c>
      <c r="T90" s="22">
        <v>34</v>
      </c>
      <c r="U90" s="22">
        <v>23</v>
      </c>
      <c r="V90" s="22">
        <v>13</v>
      </c>
      <c r="W90" s="23">
        <v>3</v>
      </c>
      <c r="X90" s="24">
        <v>23.4</v>
      </c>
      <c r="Y90" s="23">
        <v>70.2</v>
      </c>
      <c r="Z90" s="25">
        <v>3199</v>
      </c>
      <c r="AA90" s="46" t="s">
        <v>681</v>
      </c>
      <c r="AB90" s="23" t="s">
        <v>32</v>
      </c>
      <c r="AC90" s="23" t="s">
        <v>32</v>
      </c>
      <c r="AD90" s="23" t="s">
        <v>44</v>
      </c>
      <c r="AE90" s="22" t="s">
        <v>45</v>
      </c>
      <c r="AF90" s="37">
        <v>13.298299999999999</v>
      </c>
      <c r="AG90" s="27">
        <f t="shared" si="0"/>
        <v>4.4327666666666667</v>
      </c>
      <c r="AH90" s="27">
        <f t="shared" si="1"/>
        <v>27.832766666666664</v>
      </c>
      <c r="AI90" s="23">
        <f t="shared" si="2"/>
        <v>83.4983</v>
      </c>
      <c r="AJ90" s="33"/>
    </row>
    <row r="91" spans="1:36" ht="14.4">
      <c r="A91" s="22" t="s">
        <v>344</v>
      </c>
      <c r="B91" s="22" t="s">
        <v>585</v>
      </c>
      <c r="C91" s="23" t="s">
        <v>586</v>
      </c>
      <c r="D91" s="23" t="s">
        <v>341</v>
      </c>
      <c r="E91" s="22" t="s">
        <v>340</v>
      </c>
      <c r="F91" s="23" t="s">
        <v>342</v>
      </c>
      <c r="G91" s="23" t="s">
        <v>615</v>
      </c>
      <c r="H91" s="22" t="s">
        <v>342</v>
      </c>
      <c r="I91" s="23" t="s">
        <v>343</v>
      </c>
      <c r="J91" s="23" t="s">
        <v>346</v>
      </c>
      <c r="K91" s="22" t="s">
        <v>28</v>
      </c>
      <c r="L91" s="22" t="s">
        <v>51</v>
      </c>
      <c r="M91" s="22" t="s">
        <v>627</v>
      </c>
      <c r="N91" s="28" t="s">
        <v>84</v>
      </c>
      <c r="O91" s="22">
        <v>0.96</v>
      </c>
      <c r="P91" s="22">
        <v>26</v>
      </c>
      <c r="Q91" s="22" t="s">
        <v>52</v>
      </c>
      <c r="R91" s="22">
        <v>15</v>
      </c>
      <c r="S91" s="22">
        <v>1.196E-2</v>
      </c>
      <c r="T91" s="22">
        <v>34</v>
      </c>
      <c r="U91" s="22">
        <v>23</v>
      </c>
      <c r="V91" s="22">
        <v>13</v>
      </c>
      <c r="W91" s="23">
        <v>3</v>
      </c>
      <c r="X91" s="24">
        <v>23.4</v>
      </c>
      <c r="Y91" s="23">
        <v>70.2</v>
      </c>
      <c r="Z91" s="25">
        <v>3199</v>
      </c>
      <c r="AA91" s="46" t="s">
        <v>682</v>
      </c>
      <c r="AB91" s="23" t="s">
        <v>32</v>
      </c>
      <c r="AC91" s="23" t="s">
        <v>32</v>
      </c>
      <c r="AD91" s="23" t="s">
        <v>44</v>
      </c>
      <c r="AE91" s="22" t="s">
        <v>45</v>
      </c>
      <c r="AF91" s="37">
        <v>13.298299999999999</v>
      </c>
      <c r="AG91" s="27">
        <f t="shared" si="0"/>
        <v>4.4327666666666667</v>
      </c>
      <c r="AH91" s="27">
        <f t="shared" si="1"/>
        <v>27.832766666666664</v>
      </c>
      <c r="AI91" s="23">
        <f t="shared" si="2"/>
        <v>83.4983</v>
      </c>
      <c r="AJ91" s="33"/>
    </row>
    <row r="92" spans="1:36" ht="14.4">
      <c r="A92" s="22" t="s">
        <v>347</v>
      </c>
      <c r="B92" s="22" t="s">
        <v>587</v>
      </c>
      <c r="C92" s="23" t="s">
        <v>588</v>
      </c>
      <c r="D92" s="23" t="s">
        <v>341</v>
      </c>
      <c r="E92" s="22" t="s">
        <v>340</v>
      </c>
      <c r="F92" s="23" t="s">
        <v>342</v>
      </c>
      <c r="G92" s="23" t="s">
        <v>615</v>
      </c>
      <c r="H92" s="22" t="s">
        <v>342</v>
      </c>
      <c r="I92" s="23" t="s">
        <v>343</v>
      </c>
      <c r="J92" s="23" t="s">
        <v>349</v>
      </c>
      <c r="K92" s="22" t="s">
        <v>28</v>
      </c>
      <c r="L92" s="22" t="s">
        <v>51</v>
      </c>
      <c r="M92" s="22" t="s">
        <v>627</v>
      </c>
      <c r="N92" s="28" t="s">
        <v>84</v>
      </c>
      <c r="O92" s="22">
        <v>0.96</v>
      </c>
      <c r="P92" s="22">
        <v>26.7</v>
      </c>
      <c r="Q92" s="22" t="s">
        <v>52</v>
      </c>
      <c r="R92" s="22">
        <v>15</v>
      </c>
      <c r="S92" s="22">
        <v>1.196E-2</v>
      </c>
      <c r="T92" s="22">
        <v>34</v>
      </c>
      <c r="U92" s="22">
        <v>23</v>
      </c>
      <c r="V92" s="22">
        <v>13</v>
      </c>
      <c r="W92" s="23">
        <v>4</v>
      </c>
      <c r="X92" s="24">
        <v>23.4</v>
      </c>
      <c r="Y92" s="23">
        <v>93.6</v>
      </c>
      <c r="Z92" s="25">
        <v>3199</v>
      </c>
      <c r="AA92" s="46" t="s">
        <v>683</v>
      </c>
      <c r="AB92" s="23" t="s">
        <v>32</v>
      </c>
      <c r="AC92" s="23" t="s">
        <v>32</v>
      </c>
      <c r="AD92" s="23" t="s">
        <v>44</v>
      </c>
      <c r="AE92" s="22" t="s">
        <v>45</v>
      </c>
      <c r="AF92" s="37">
        <v>17.731069999999999</v>
      </c>
      <c r="AG92" s="27">
        <f t="shared" si="0"/>
        <v>4.4327674999999997</v>
      </c>
      <c r="AH92" s="27">
        <f t="shared" si="1"/>
        <v>27.832767499999999</v>
      </c>
      <c r="AI92" s="23">
        <f t="shared" si="2"/>
        <v>111.33107</v>
      </c>
      <c r="AJ92" s="33"/>
    </row>
    <row r="93" spans="1:36" ht="14.4">
      <c r="A93" s="22" t="s">
        <v>350</v>
      </c>
      <c r="B93" s="22" t="s">
        <v>589</v>
      </c>
      <c r="C93" s="23" t="s">
        <v>590</v>
      </c>
      <c r="D93" s="23" t="s">
        <v>341</v>
      </c>
      <c r="E93" s="22" t="s">
        <v>340</v>
      </c>
      <c r="F93" s="23" t="s">
        <v>342</v>
      </c>
      <c r="G93" s="23" t="s">
        <v>615</v>
      </c>
      <c r="H93" s="22" t="s">
        <v>342</v>
      </c>
      <c r="I93" s="23" t="s">
        <v>343</v>
      </c>
      <c r="J93" s="23" t="s">
        <v>352</v>
      </c>
      <c r="K93" s="22" t="s">
        <v>28</v>
      </c>
      <c r="L93" s="22" t="s">
        <v>51</v>
      </c>
      <c r="M93" s="22" t="s">
        <v>627</v>
      </c>
      <c r="N93" s="28" t="s">
        <v>84</v>
      </c>
      <c r="O93" s="22">
        <v>0.96</v>
      </c>
      <c r="P93" s="22">
        <v>27.3</v>
      </c>
      <c r="Q93" s="22" t="s">
        <v>52</v>
      </c>
      <c r="R93" s="22">
        <v>15</v>
      </c>
      <c r="S93" s="22">
        <v>1.196E-2</v>
      </c>
      <c r="T93" s="22">
        <v>34</v>
      </c>
      <c r="U93" s="22">
        <v>23</v>
      </c>
      <c r="V93" s="22">
        <v>13</v>
      </c>
      <c r="W93" s="23">
        <v>4</v>
      </c>
      <c r="X93" s="24">
        <v>23.4</v>
      </c>
      <c r="Y93" s="23">
        <v>93.6</v>
      </c>
      <c r="Z93" s="25">
        <v>3199</v>
      </c>
      <c r="AA93" s="46" t="s">
        <v>684</v>
      </c>
      <c r="AB93" s="23" t="s">
        <v>32</v>
      </c>
      <c r="AC93" s="23" t="s">
        <v>32</v>
      </c>
      <c r="AD93" s="23" t="s">
        <v>44</v>
      </c>
      <c r="AE93" s="22" t="s">
        <v>45</v>
      </c>
      <c r="AF93" s="37">
        <v>17.731069999999999</v>
      </c>
      <c r="AG93" s="27">
        <f t="shared" si="0"/>
        <v>4.4327674999999997</v>
      </c>
      <c r="AH93" s="27">
        <f t="shared" si="1"/>
        <v>27.832767499999999</v>
      </c>
      <c r="AI93" s="23">
        <f t="shared" si="2"/>
        <v>111.33107</v>
      </c>
      <c r="AJ93" s="33"/>
    </row>
    <row r="94" spans="1:36" ht="14.4">
      <c r="A94" s="22" t="s">
        <v>353</v>
      </c>
      <c r="B94" s="22" t="s">
        <v>354</v>
      </c>
      <c r="C94" s="23" t="s">
        <v>591</v>
      </c>
      <c r="D94" s="23" t="s">
        <v>341</v>
      </c>
      <c r="E94" s="22" t="s">
        <v>340</v>
      </c>
      <c r="F94" s="23" t="s">
        <v>342</v>
      </c>
      <c r="G94" s="23" t="s">
        <v>615</v>
      </c>
      <c r="H94" s="22" t="s">
        <v>342</v>
      </c>
      <c r="I94" s="23" t="s">
        <v>343</v>
      </c>
      <c r="J94" s="23" t="s">
        <v>355</v>
      </c>
      <c r="K94" s="22" t="s">
        <v>28</v>
      </c>
      <c r="L94" s="22" t="s">
        <v>51</v>
      </c>
      <c r="M94" s="22" t="s">
        <v>627</v>
      </c>
      <c r="N94" s="28" t="s">
        <v>84</v>
      </c>
      <c r="O94" s="22">
        <v>0.96</v>
      </c>
      <c r="P94" s="22">
        <v>28</v>
      </c>
      <c r="Q94" s="22" t="s">
        <v>52</v>
      </c>
      <c r="R94" s="22">
        <v>15</v>
      </c>
      <c r="S94" s="22">
        <v>1.196E-2</v>
      </c>
      <c r="T94" s="22">
        <v>34</v>
      </c>
      <c r="U94" s="22">
        <v>23</v>
      </c>
      <c r="V94" s="22">
        <v>13</v>
      </c>
      <c r="W94" s="23">
        <v>3</v>
      </c>
      <c r="X94" s="24">
        <v>23.4</v>
      </c>
      <c r="Y94" s="23">
        <v>70.2</v>
      </c>
      <c r="Z94" s="25">
        <v>3199</v>
      </c>
      <c r="AA94" s="46" t="s">
        <v>685</v>
      </c>
      <c r="AB94" s="23" t="s">
        <v>32</v>
      </c>
      <c r="AC94" s="23" t="s">
        <v>32</v>
      </c>
      <c r="AD94" s="23" t="s">
        <v>44</v>
      </c>
      <c r="AE94" s="22" t="s">
        <v>45</v>
      </c>
      <c r="AF94" s="37">
        <v>13.298299999999999</v>
      </c>
      <c r="AG94" s="27">
        <f t="shared" si="0"/>
        <v>4.4327666666666667</v>
      </c>
      <c r="AH94" s="27">
        <f t="shared" si="1"/>
        <v>27.832766666666664</v>
      </c>
      <c r="AI94" s="23">
        <f t="shared" si="2"/>
        <v>83.4983</v>
      </c>
      <c r="AJ94" s="33"/>
    </row>
    <row r="95" spans="1:36" ht="14.4">
      <c r="A95" s="22" t="s">
        <v>356</v>
      </c>
      <c r="B95" s="22" t="s">
        <v>357</v>
      </c>
      <c r="C95" s="23" t="s">
        <v>592</v>
      </c>
      <c r="D95" s="23" t="s">
        <v>341</v>
      </c>
      <c r="E95" s="22" t="s">
        <v>340</v>
      </c>
      <c r="F95" s="23" t="s">
        <v>342</v>
      </c>
      <c r="G95" s="23" t="s">
        <v>615</v>
      </c>
      <c r="H95" s="22" t="s">
        <v>342</v>
      </c>
      <c r="I95" s="23" t="s">
        <v>343</v>
      </c>
      <c r="J95" s="23" t="s">
        <v>358</v>
      </c>
      <c r="K95" s="22" t="s">
        <v>28</v>
      </c>
      <c r="L95" s="22" t="s">
        <v>51</v>
      </c>
      <c r="M95" s="22" t="s">
        <v>627</v>
      </c>
      <c r="N95" s="28" t="s">
        <v>84</v>
      </c>
      <c r="O95" s="22">
        <v>0.96</v>
      </c>
      <c r="P95" s="22">
        <v>29.5</v>
      </c>
      <c r="Q95" s="22" t="s">
        <v>52</v>
      </c>
      <c r="R95" s="22">
        <v>15</v>
      </c>
      <c r="S95" s="22">
        <v>1.196E-2</v>
      </c>
      <c r="T95" s="22">
        <v>34</v>
      </c>
      <c r="U95" s="22">
        <v>23</v>
      </c>
      <c r="V95" s="22">
        <v>13</v>
      </c>
      <c r="W95" s="23">
        <v>3</v>
      </c>
      <c r="X95" s="24">
        <v>23.4</v>
      </c>
      <c r="Y95" s="23">
        <v>70.2</v>
      </c>
      <c r="Z95" s="25">
        <v>3199</v>
      </c>
      <c r="AA95" s="46" t="s">
        <v>686</v>
      </c>
      <c r="AB95" s="23" t="s">
        <v>32</v>
      </c>
      <c r="AC95" s="23" t="s">
        <v>32</v>
      </c>
      <c r="AD95" s="23" t="s">
        <v>44</v>
      </c>
      <c r="AE95" s="22" t="s">
        <v>45</v>
      </c>
      <c r="AF95" s="37">
        <v>13.298299999999999</v>
      </c>
      <c r="AG95" s="27">
        <f t="shared" si="0"/>
        <v>4.4327666666666667</v>
      </c>
      <c r="AH95" s="27">
        <f t="shared" si="1"/>
        <v>27.832766666666664</v>
      </c>
      <c r="AI95" s="23">
        <f t="shared" si="2"/>
        <v>83.4983</v>
      </c>
      <c r="AJ95" s="33"/>
    </row>
    <row r="96" spans="1:36" ht="14.4">
      <c r="A96" s="22" t="s">
        <v>359</v>
      </c>
      <c r="B96" s="22" t="s">
        <v>360</v>
      </c>
      <c r="C96" s="23" t="s">
        <v>569</v>
      </c>
      <c r="D96" s="23" t="s">
        <v>341</v>
      </c>
      <c r="E96" s="22" t="s">
        <v>340</v>
      </c>
      <c r="F96" s="23" t="s">
        <v>361</v>
      </c>
      <c r="G96" s="23" t="s">
        <v>615</v>
      </c>
      <c r="H96" s="22" t="s">
        <v>361</v>
      </c>
      <c r="I96" s="23" t="s">
        <v>362</v>
      </c>
      <c r="J96" s="23" t="s">
        <v>189</v>
      </c>
      <c r="K96" s="22" t="s">
        <v>28</v>
      </c>
      <c r="L96" s="22" t="s">
        <v>51</v>
      </c>
      <c r="M96" s="22" t="s">
        <v>627</v>
      </c>
      <c r="N96" s="28" t="s">
        <v>84</v>
      </c>
      <c r="O96" s="22">
        <v>0.496</v>
      </c>
      <c r="P96" s="22">
        <v>25.4</v>
      </c>
      <c r="Q96" s="22" t="s">
        <v>52</v>
      </c>
      <c r="R96" s="22">
        <v>15</v>
      </c>
      <c r="S96" s="22">
        <v>1.196E-2</v>
      </c>
      <c r="T96" s="22">
        <v>69</v>
      </c>
      <c r="U96" s="22">
        <v>51</v>
      </c>
      <c r="V96" s="22">
        <v>51</v>
      </c>
      <c r="W96" s="23">
        <v>4</v>
      </c>
      <c r="X96" s="24">
        <v>22</v>
      </c>
      <c r="Y96" s="23">
        <v>88</v>
      </c>
      <c r="Z96" s="25">
        <v>0</v>
      </c>
      <c r="AA96" s="22" t="s">
        <v>644</v>
      </c>
      <c r="AB96" s="23" t="s">
        <v>32</v>
      </c>
      <c r="AC96" s="23" t="s">
        <v>32</v>
      </c>
      <c r="AD96" s="23" t="s">
        <v>44</v>
      </c>
      <c r="AE96" s="22" t="s">
        <v>45</v>
      </c>
      <c r="AF96" s="37">
        <v>16.67023</v>
      </c>
      <c r="AG96" s="27">
        <f t="shared" si="0"/>
        <v>4.1675575</v>
      </c>
      <c r="AH96" s="27">
        <f t="shared" si="1"/>
        <v>26.167557500000001</v>
      </c>
      <c r="AI96" s="23">
        <f t="shared" si="2"/>
        <v>104.67023</v>
      </c>
      <c r="AJ96" s="33"/>
    </row>
    <row r="97" spans="1:36" ht="14.4">
      <c r="A97" s="22" t="s">
        <v>363</v>
      </c>
      <c r="B97" s="22" t="s">
        <v>364</v>
      </c>
      <c r="C97" s="23" t="s">
        <v>586</v>
      </c>
      <c r="D97" s="23" t="s">
        <v>341</v>
      </c>
      <c r="E97" s="22" t="s">
        <v>340</v>
      </c>
      <c r="F97" s="23" t="s">
        <v>361</v>
      </c>
      <c r="G97" s="23" t="s">
        <v>615</v>
      </c>
      <c r="H97" s="22" t="s">
        <v>361</v>
      </c>
      <c r="I97" s="23" t="s">
        <v>362</v>
      </c>
      <c r="J97" s="23" t="s">
        <v>346</v>
      </c>
      <c r="K97" s="22" t="s">
        <v>28</v>
      </c>
      <c r="L97" s="22" t="s">
        <v>51</v>
      </c>
      <c r="M97" s="22" t="s">
        <v>627</v>
      </c>
      <c r="N97" s="28" t="s">
        <v>84</v>
      </c>
      <c r="O97" s="22">
        <v>0.496</v>
      </c>
      <c r="P97" s="22">
        <v>26</v>
      </c>
      <c r="Q97" s="22" t="s">
        <v>52</v>
      </c>
      <c r="R97" s="22">
        <v>15</v>
      </c>
      <c r="S97" s="22">
        <v>1.196E-2</v>
      </c>
      <c r="T97" s="22">
        <v>69</v>
      </c>
      <c r="U97" s="22">
        <v>51</v>
      </c>
      <c r="V97" s="22">
        <v>51</v>
      </c>
      <c r="W97" s="23">
        <v>4</v>
      </c>
      <c r="X97" s="24">
        <v>22</v>
      </c>
      <c r="Y97" s="23">
        <v>88</v>
      </c>
      <c r="Z97" s="25">
        <v>2999</v>
      </c>
      <c r="AA97" s="46" t="s">
        <v>687</v>
      </c>
      <c r="AB97" s="23" t="s">
        <v>32</v>
      </c>
      <c r="AC97" s="23" t="s">
        <v>32</v>
      </c>
      <c r="AD97" s="23" t="s">
        <v>44</v>
      </c>
      <c r="AE97" s="22" t="s">
        <v>45</v>
      </c>
      <c r="AF97" s="37">
        <v>16.67023</v>
      </c>
      <c r="AG97" s="27">
        <f t="shared" si="0"/>
        <v>4.1675575</v>
      </c>
      <c r="AH97" s="27">
        <f t="shared" si="1"/>
        <v>26.167557500000001</v>
      </c>
      <c r="AI97" s="23">
        <f t="shared" si="2"/>
        <v>104.67023</v>
      </c>
      <c r="AJ97" s="33"/>
    </row>
    <row r="98" spans="1:36" ht="14.4">
      <c r="A98" s="22" t="s">
        <v>365</v>
      </c>
      <c r="B98" s="22" t="s">
        <v>366</v>
      </c>
      <c r="C98" s="23" t="s">
        <v>588</v>
      </c>
      <c r="D98" s="23" t="s">
        <v>341</v>
      </c>
      <c r="E98" s="22" t="s">
        <v>340</v>
      </c>
      <c r="F98" s="23" t="s">
        <v>361</v>
      </c>
      <c r="G98" s="23" t="s">
        <v>615</v>
      </c>
      <c r="H98" s="22" t="s">
        <v>361</v>
      </c>
      <c r="I98" s="23" t="s">
        <v>362</v>
      </c>
      <c r="J98" s="23" t="s">
        <v>349</v>
      </c>
      <c r="K98" s="22" t="s">
        <v>28</v>
      </c>
      <c r="L98" s="22" t="s">
        <v>51</v>
      </c>
      <c r="M98" s="22" t="s">
        <v>627</v>
      </c>
      <c r="N98" s="28" t="s">
        <v>84</v>
      </c>
      <c r="O98" s="22">
        <v>0.496</v>
      </c>
      <c r="P98" s="22">
        <v>26.7</v>
      </c>
      <c r="Q98" s="22" t="s">
        <v>52</v>
      </c>
      <c r="R98" s="22">
        <v>15</v>
      </c>
      <c r="S98" s="22">
        <v>1.196E-2</v>
      </c>
      <c r="T98" s="22">
        <v>69</v>
      </c>
      <c r="U98" s="22">
        <v>51</v>
      </c>
      <c r="V98" s="22">
        <v>51</v>
      </c>
      <c r="W98" s="23">
        <v>4</v>
      </c>
      <c r="X98" s="24">
        <v>22</v>
      </c>
      <c r="Y98" s="23">
        <v>88</v>
      </c>
      <c r="Z98" s="25">
        <v>2999</v>
      </c>
      <c r="AA98" s="46" t="s">
        <v>688</v>
      </c>
      <c r="AB98" s="23" t="s">
        <v>32</v>
      </c>
      <c r="AC98" s="23" t="s">
        <v>32</v>
      </c>
      <c r="AD98" s="23" t="s">
        <v>44</v>
      </c>
      <c r="AE98" s="22" t="s">
        <v>45</v>
      </c>
      <c r="AF98" s="37">
        <v>16.67023</v>
      </c>
      <c r="AG98" s="27">
        <f t="shared" si="0"/>
        <v>4.1675575</v>
      </c>
      <c r="AH98" s="27">
        <f t="shared" si="1"/>
        <v>26.167557500000001</v>
      </c>
      <c r="AI98" s="23">
        <f t="shared" si="2"/>
        <v>104.67023</v>
      </c>
      <c r="AJ98" s="33"/>
    </row>
    <row r="99" spans="1:36" ht="14.4">
      <c r="A99" s="22" t="s">
        <v>367</v>
      </c>
      <c r="B99" s="22" t="s">
        <v>368</v>
      </c>
      <c r="C99" s="23" t="s">
        <v>590</v>
      </c>
      <c r="D99" s="23" t="s">
        <v>341</v>
      </c>
      <c r="E99" s="22" t="s">
        <v>340</v>
      </c>
      <c r="F99" s="23" t="s">
        <v>361</v>
      </c>
      <c r="G99" s="23" t="s">
        <v>615</v>
      </c>
      <c r="H99" s="22" t="s">
        <v>361</v>
      </c>
      <c r="I99" s="23" t="s">
        <v>362</v>
      </c>
      <c r="J99" s="23" t="s">
        <v>352</v>
      </c>
      <c r="K99" s="22" t="s">
        <v>28</v>
      </c>
      <c r="L99" s="22" t="s">
        <v>51</v>
      </c>
      <c r="M99" s="22" t="s">
        <v>627</v>
      </c>
      <c r="N99" s="28" t="s">
        <v>84</v>
      </c>
      <c r="O99" s="22">
        <v>0.496</v>
      </c>
      <c r="P99" s="22">
        <v>27.3</v>
      </c>
      <c r="Q99" s="22" t="s">
        <v>52</v>
      </c>
      <c r="R99" s="22">
        <v>15</v>
      </c>
      <c r="S99" s="22">
        <v>1.196E-2</v>
      </c>
      <c r="T99" s="22">
        <v>69</v>
      </c>
      <c r="U99" s="22">
        <v>51</v>
      </c>
      <c r="V99" s="22">
        <v>51</v>
      </c>
      <c r="W99" s="23">
        <v>4</v>
      </c>
      <c r="X99" s="24">
        <v>22</v>
      </c>
      <c r="Y99" s="23">
        <v>88</v>
      </c>
      <c r="Z99" s="25">
        <v>2999</v>
      </c>
      <c r="AA99" s="46" t="s">
        <v>689</v>
      </c>
      <c r="AB99" s="23" t="s">
        <v>32</v>
      </c>
      <c r="AC99" s="23" t="s">
        <v>32</v>
      </c>
      <c r="AD99" s="23" t="s">
        <v>44</v>
      </c>
      <c r="AE99" s="22" t="s">
        <v>45</v>
      </c>
      <c r="AF99" s="37">
        <v>16.67023</v>
      </c>
      <c r="AG99" s="27">
        <f t="shared" si="0"/>
        <v>4.1675575</v>
      </c>
      <c r="AH99" s="27">
        <f t="shared" si="1"/>
        <v>26.167557500000001</v>
      </c>
      <c r="AI99" s="23">
        <f t="shared" si="2"/>
        <v>104.67023</v>
      </c>
      <c r="AJ99" s="33"/>
    </row>
    <row r="100" spans="1:36" ht="14.4">
      <c r="A100" s="22" t="s">
        <v>369</v>
      </c>
      <c r="B100" s="22" t="s">
        <v>370</v>
      </c>
      <c r="C100" s="23" t="s">
        <v>591</v>
      </c>
      <c r="D100" s="23" t="s">
        <v>341</v>
      </c>
      <c r="E100" s="22" t="s">
        <v>340</v>
      </c>
      <c r="F100" s="23" t="s">
        <v>361</v>
      </c>
      <c r="G100" s="23" t="s">
        <v>615</v>
      </c>
      <c r="H100" s="22" t="s">
        <v>361</v>
      </c>
      <c r="I100" s="23" t="s">
        <v>362</v>
      </c>
      <c r="J100" s="23" t="s">
        <v>355</v>
      </c>
      <c r="K100" s="22" t="s">
        <v>28</v>
      </c>
      <c r="L100" s="22" t="s">
        <v>51</v>
      </c>
      <c r="M100" s="22" t="s">
        <v>627</v>
      </c>
      <c r="N100" s="28" t="s">
        <v>84</v>
      </c>
      <c r="O100" s="22">
        <v>0.496</v>
      </c>
      <c r="P100" s="22">
        <v>28</v>
      </c>
      <c r="Q100" s="22" t="s">
        <v>52</v>
      </c>
      <c r="R100" s="22">
        <v>15</v>
      </c>
      <c r="S100" s="22">
        <v>1.196E-2</v>
      </c>
      <c r="T100" s="22">
        <v>69</v>
      </c>
      <c r="U100" s="22">
        <v>51</v>
      </c>
      <c r="V100" s="22">
        <v>51</v>
      </c>
      <c r="W100" s="23">
        <v>4</v>
      </c>
      <c r="X100" s="24">
        <v>22</v>
      </c>
      <c r="Y100" s="23">
        <v>88</v>
      </c>
      <c r="Z100" s="25">
        <v>2999</v>
      </c>
      <c r="AA100" s="46" t="s">
        <v>690</v>
      </c>
      <c r="AB100" s="23" t="s">
        <v>32</v>
      </c>
      <c r="AC100" s="23" t="s">
        <v>32</v>
      </c>
      <c r="AD100" s="23" t="s">
        <v>44</v>
      </c>
      <c r="AE100" s="22" t="s">
        <v>45</v>
      </c>
      <c r="AF100" s="37">
        <v>16.67023</v>
      </c>
      <c r="AG100" s="27">
        <f t="shared" si="0"/>
        <v>4.1675575</v>
      </c>
      <c r="AH100" s="27">
        <f t="shared" si="1"/>
        <v>26.167557500000001</v>
      </c>
      <c r="AI100" s="23">
        <f t="shared" si="2"/>
        <v>104.67023</v>
      </c>
      <c r="AJ100" s="33"/>
    </row>
    <row r="101" spans="1:36" ht="14.4">
      <c r="A101" s="22" t="s">
        <v>371</v>
      </c>
      <c r="B101" s="22" t="s">
        <v>372</v>
      </c>
      <c r="C101" s="23" t="s">
        <v>591</v>
      </c>
      <c r="D101" s="23" t="s">
        <v>341</v>
      </c>
      <c r="E101" s="22" t="s">
        <v>340</v>
      </c>
      <c r="F101" s="23" t="s">
        <v>373</v>
      </c>
      <c r="G101" s="23" t="s">
        <v>615</v>
      </c>
      <c r="H101" s="22" t="s">
        <v>373</v>
      </c>
      <c r="I101" s="23" t="s">
        <v>374</v>
      </c>
      <c r="J101" s="23" t="s">
        <v>355</v>
      </c>
      <c r="K101" s="22" t="s">
        <v>28</v>
      </c>
      <c r="L101" s="22" t="s">
        <v>51</v>
      </c>
      <c r="M101" s="22" t="s">
        <v>627</v>
      </c>
      <c r="N101" s="28" t="s">
        <v>84</v>
      </c>
      <c r="O101" s="22">
        <v>0.82499999999999996</v>
      </c>
      <c r="P101" s="22">
        <v>28</v>
      </c>
      <c r="Q101" s="22" t="s">
        <v>52</v>
      </c>
      <c r="R101" s="22">
        <v>15</v>
      </c>
      <c r="S101" s="22">
        <v>1.196E-2</v>
      </c>
      <c r="T101" s="22">
        <v>69</v>
      </c>
      <c r="U101" s="22">
        <v>51</v>
      </c>
      <c r="V101" s="22">
        <v>51</v>
      </c>
      <c r="W101" s="23">
        <v>3</v>
      </c>
      <c r="X101" s="24">
        <v>13</v>
      </c>
      <c r="Y101" s="23">
        <v>39</v>
      </c>
      <c r="Z101" s="25">
        <v>1799</v>
      </c>
      <c r="AA101" s="46" t="s">
        <v>691</v>
      </c>
      <c r="AB101" s="29">
        <v>34</v>
      </c>
      <c r="AC101" s="48" t="s">
        <v>692</v>
      </c>
      <c r="AD101" s="23" t="s">
        <v>44</v>
      </c>
      <c r="AE101" s="22" t="s">
        <v>45</v>
      </c>
      <c r="AF101" s="37">
        <v>7.3879400000000004</v>
      </c>
      <c r="AG101" s="27">
        <f t="shared" si="0"/>
        <v>2.4626466666666667</v>
      </c>
      <c r="AH101" s="27">
        <f t="shared" si="1"/>
        <v>15.462646666666666</v>
      </c>
      <c r="AI101" s="23">
        <f t="shared" si="2"/>
        <v>46.38794</v>
      </c>
      <c r="AJ101" s="33"/>
    </row>
    <row r="102" spans="1:36" ht="14.4">
      <c r="A102" s="22" t="s">
        <v>375</v>
      </c>
      <c r="B102" s="22" t="s">
        <v>376</v>
      </c>
      <c r="C102" s="23" t="s">
        <v>592</v>
      </c>
      <c r="D102" s="23" t="s">
        <v>341</v>
      </c>
      <c r="E102" s="22" t="s">
        <v>340</v>
      </c>
      <c r="F102" s="23" t="s">
        <v>373</v>
      </c>
      <c r="G102" s="23" t="s">
        <v>615</v>
      </c>
      <c r="H102" s="22" t="s">
        <v>373</v>
      </c>
      <c r="I102" s="23" t="s">
        <v>374</v>
      </c>
      <c r="J102" s="23" t="s">
        <v>358</v>
      </c>
      <c r="K102" s="22" t="s">
        <v>28</v>
      </c>
      <c r="L102" s="22" t="s">
        <v>51</v>
      </c>
      <c r="M102" s="22" t="s">
        <v>627</v>
      </c>
      <c r="N102" s="28" t="s">
        <v>84</v>
      </c>
      <c r="O102" s="22">
        <v>0.82499999999999996</v>
      </c>
      <c r="P102" s="22">
        <v>29.5</v>
      </c>
      <c r="Q102" s="22" t="s">
        <v>52</v>
      </c>
      <c r="R102" s="22">
        <v>15</v>
      </c>
      <c r="S102" s="22">
        <v>1.196E-2</v>
      </c>
      <c r="T102" s="22">
        <v>69</v>
      </c>
      <c r="U102" s="22">
        <v>51</v>
      </c>
      <c r="V102" s="22">
        <v>51</v>
      </c>
      <c r="W102" s="23">
        <v>2</v>
      </c>
      <c r="X102" s="24">
        <v>13</v>
      </c>
      <c r="Y102" s="23">
        <v>26</v>
      </c>
      <c r="Z102" s="25">
        <v>1799</v>
      </c>
      <c r="AA102" s="46" t="s">
        <v>693</v>
      </c>
      <c r="AB102" s="29">
        <v>34</v>
      </c>
      <c r="AC102" s="48" t="s">
        <v>692</v>
      </c>
      <c r="AD102" s="23" t="s">
        <v>44</v>
      </c>
      <c r="AE102" s="22" t="s">
        <v>45</v>
      </c>
      <c r="AF102" s="37">
        <v>4.9253</v>
      </c>
      <c r="AG102" s="27">
        <f t="shared" si="0"/>
        <v>2.46265</v>
      </c>
      <c r="AH102" s="27">
        <f t="shared" si="1"/>
        <v>15.46265</v>
      </c>
      <c r="AI102" s="23">
        <f t="shared" si="2"/>
        <v>30.9253</v>
      </c>
      <c r="AJ102" s="33"/>
    </row>
    <row r="103" spans="1:36" ht="14.4">
      <c r="A103" s="22" t="s">
        <v>377</v>
      </c>
      <c r="B103" s="22" t="s">
        <v>378</v>
      </c>
      <c r="C103" s="23" t="s">
        <v>570</v>
      </c>
      <c r="D103" s="23" t="s">
        <v>341</v>
      </c>
      <c r="E103" s="22" t="s">
        <v>340</v>
      </c>
      <c r="F103" s="23" t="s">
        <v>373</v>
      </c>
      <c r="G103" s="23" t="s">
        <v>615</v>
      </c>
      <c r="H103" s="22" t="s">
        <v>373</v>
      </c>
      <c r="I103" s="23" t="s">
        <v>374</v>
      </c>
      <c r="J103" s="23" t="s">
        <v>183</v>
      </c>
      <c r="K103" s="22" t="s">
        <v>28</v>
      </c>
      <c r="L103" s="22" t="s">
        <v>51</v>
      </c>
      <c r="M103" s="22" t="s">
        <v>627</v>
      </c>
      <c r="N103" s="28" t="s">
        <v>84</v>
      </c>
      <c r="O103" s="22">
        <v>0.82499999999999996</v>
      </c>
      <c r="P103" s="22">
        <v>24</v>
      </c>
      <c r="Q103" s="22" t="s">
        <v>52</v>
      </c>
      <c r="R103" s="22">
        <v>15</v>
      </c>
      <c r="S103" s="22">
        <v>1.196E-2</v>
      </c>
      <c r="T103" s="22">
        <v>69</v>
      </c>
      <c r="U103" s="22">
        <v>51</v>
      </c>
      <c r="V103" s="22">
        <v>51</v>
      </c>
      <c r="W103" s="23">
        <v>2</v>
      </c>
      <c r="X103" s="24">
        <v>13</v>
      </c>
      <c r="Y103" s="23">
        <v>26</v>
      </c>
      <c r="Z103" s="25">
        <v>1799</v>
      </c>
      <c r="AA103" s="46" t="s">
        <v>694</v>
      </c>
      <c r="AB103" s="23" t="s">
        <v>32</v>
      </c>
      <c r="AC103" s="23" t="s">
        <v>32</v>
      </c>
      <c r="AD103" s="23" t="s">
        <v>44</v>
      </c>
      <c r="AE103" s="22" t="s">
        <v>45</v>
      </c>
      <c r="AF103" s="37">
        <v>4.9253</v>
      </c>
      <c r="AG103" s="27">
        <f t="shared" si="0"/>
        <v>2.46265</v>
      </c>
      <c r="AH103" s="27">
        <f t="shared" si="1"/>
        <v>15.46265</v>
      </c>
      <c r="AI103" s="23">
        <f t="shared" si="2"/>
        <v>30.9253</v>
      </c>
      <c r="AJ103" s="33"/>
    </row>
    <row r="104" spans="1:36" ht="14.4">
      <c r="A104" s="22" t="s">
        <v>379</v>
      </c>
      <c r="B104" s="22" t="s">
        <v>380</v>
      </c>
      <c r="C104" s="23" t="s">
        <v>568</v>
      </c>
      <c r="D104" s="23" t="s">
        <v>341</v>
      </c>
      <c r="E104" s="22" t="s">
        <v>340</v>
      </c>
      <c r="F104" s="23" t="s">
        <v>373</v>
      </c>
      <c r="G104" s="23" t="s">
        <v>615</v>
      </c>
      <c r="H104" s="22" t="s">
        <v>373</v>
      </c>
      <c r="I104" s="23" t="s">
        <v>374</v>
      </c>
      <c r="J104" s="23" t="s">
        <v>186</v>
      </c>
      <c r="K104" s="22" t="s">
        <v>28</v>
      </c>
      <c r="L104" s="22" t="s">
        <v>51</v>
      </c>
      <c r="M104" s="22" t="s">
        <v>627</v>
      </c>
      <c r="N104" s="28" t="s">
        <v>84</v>
      </c>
      <c r="O104" s="22">
        <v>0.82499999999999996</v>
      </c>
      <c r="P104" s="22">
        <v>24.7</v>
      </c>
      <c r="Q104" s="22" t="s">
        <v>52</v>
      </c>
      <c r="R104" s="22">
        <v>15</v>
      </c>
      <c r="S104" s="22">
        <v>1.196E-2</v>
      </c>
      <c r="T104" s="22">
        <v>69</v>
      </c>
      <c r="U104" s="22">
        <v>51</v>
      </c>
      <c r="V104" s="22">
        <v>51</v>
      </c>
      <c r="W104" s="23">
        <v>1</v>
      </c>
      <c r="X104" s="24">
        <v>13</v>
      </c>
      <c r="Y104" s="23">
        <v>13</v>
      </c>
      <c r="Z104" s="25">
        <v>1799</v>
      </c>
      <c r="AA104" s="46" t="s">
        <v>695</v>
      </c>
      <c r="AB104" s="23" t="s">
        <v>32</v>
      </c>
      <c r="AC104" s="23" t="s">
        <v>32</v>
      </c>
      <c r="AD104" s="23" t="s">
        <v>44</v>
      </c>
      <c r="AE104" s="22" t="s">
        <v>45</v>
      </c>
      <c r="AF104" s="37">
        <v>2.46265</v>
      </c>
      <c r="AG104" s="27">
        <f t="shared" si="0"/>
        <v>2.46265</v>
      </c>
      <c r="AH104" s="27">
        <f t="shared" si="1"/>
        <v>15.46265</v>
      </c>
      <c r="AI104" s="23">
        <f t="shared" si="2"/>
        <v>15.46265</v>
      </c>
      <c r="AJ104" s="33"/>
    </row>
    <row r="105" spans="1:36" ht="14.4">
      <c r="A105" s="22" t="s">
        <v>381</v>
      </c>
      <c r="B105" s="22" t="s">
        <v>382</v>
      </c>
      <c r="C105" s="23" t="s">
        <v>569</v>
      </c>
      <c r="D105" s="23" t="s">
        <v>341</v>
      </c>
      <c r="E105" s="22" t="s">
        <v>340</v>
      </c>
      <c r="F105" s="23" t="s">
        <v>373</v>
      </c>
      <c r="G105" s="23" t="s">
        <v>615</v>
      </c>
      <c r="H105" s="22" t="s">
        <v>373</v>
      </c>
      <c r="I105" s="23" t="s">
        <v>374</v>
      </c>
      <c r="J105" s="23" t="s">
        <v>189</v>
      </c>
      <c r="K105" s="22" t="s">
        <v>28</v>
      </c>
      <c r="L105" s="22" t="s">
        <v>51</v>
      </c>
      <c r="M105" s="22" t="s">
        <v>627</v>
      </c>
      <c r="N105" s="28" t="s">
        <v>84</v>
      </c>
      <c r="O105" s="22">
        <v>0.82499999999999996</v>
      </c>
      <c r="P105" s="22">
        <v>25.4</v>
      </c>
      <c r="Q105" s="22" t="s">
        <v>52</v>
      </c>
      <c r="R105" s="22">
        <v>15</v>
      </c>
      <c r="S105" s="22">
        <v>1.196E-2</v>
      </c>
      <c r="T105" s="22">
        <v>69</v>
      </c>
      <c r="U105" s="22">
        <v>51</v>
      </c>
      <c r="V105" s="22">
        <v>51</v>
      </c>
      <c r="W105" s="23">
        <v>2</v>
      </c>
      <c r="X105" s="24">
        <v>13</v>
      </c>
      <c r="Y105" s="23">
        <v>26</v>
      </c>
      <c r="Z105" s="25">
        <v>1799</v>
      </c>
      <c r="AA105" s="46" t="s">
        <v>696</v>
      </c>
      <c r="AB105" s="23" t="s">
        <v>32</v>
      </c>
      <c r="AC105" s="23" t="s">
        <v>32</v>
      </c>
      <c r="AD105" s="23" t="s">
        <v>44</v>
      </c>
      <c r="AE105" s="22" t="s">
        <v>45</v>
      </c>
      <c r="AF105" s="37">
        <v>4.9253</v>
      </c>
      <c r="AG105" s="27">
        <f t="shared" si="0"/>
        <v>2.46265</v>
      </c>
      <c r="AH105" s="27">
        <f t="shared" si="1"/>
        <v>15.46265</v>
      </c>
      <c r="AI105" s="23">
        <f t="shared" si="2"/>
        <v>30.9253</v>
      </c>
      <c r="AJ105" s="33"/>
    </row>
    <row r="106" spans="1:36" ht="14.4">
      <c r="A106" s="22" t="s">
        <v>383</v>
      </c>
      <c r="B106" s="22" t="s">
        <v>384</v>
      </c>
      <c r="C106" s="23" t="s">
        <v>586</v>
      </c>
      <c r="D106" s="23" t="s">
        <v>341</v>
      </c>
      <c r="E106" s="22" t="s">
        <v>340</v>
      </c>
      <c r="F106" s="23" t="s">
        <v>373</v>
      </c>
      <c r="G106" s="23" t="s">
        <v>615</v>
      </c>
      <c r="H106" s="22" t="s">
        <v>373</v>
      </c>
      <c r="I106" s="23" t="s">
        <v>374</v>
      </c>
      <c r="J106" s="23" t="s">
        <v>346</v>
      </c>
      <c r="K106" s="22" t="s">
        <v>28</v>
      </c>
      <c r="L106" s="22" t="s">
        <v>51</v>
      </c>
      <c r="M106" s="22" t="s">
        <v>627</v>
      </c>
      <c r="N106" s="28" t="s">
        <v>84</v>
      </c>
      <c r="O106" s="22">
        <v>0.82499999999999996</v>
      </c>
      <c r="P106" s="22">
        <v>26</v>
      </c>
      <c r="Q106" s="22" t="s">
        <v>52</v>
      </c>
      <c r="R106" s="22">
        <v>15</v>
      </c>
      <c r="S106" s="22">
        <v>1.196E-2</v>
      </c>
      <c r="T106" s="22">
        <v>69</v>
      </c>
      <c r="U106" s="22">
        <v>51</v>
      </c>
      <c r="V106" s="22">
        <v>51</v>
      </c>
      <c r="W106" s="23">
        <v>3</v>
      </c>
      <c r="X106" s="24">
        <v>13</v>
      </c>
      <c r="Y106" s="23">
        <v>39</v>
      </c>
      <c r="Z106" s="25">
        <v>1799</v>
      </c>
      <c r="AA106" s="46" t="s">
        <v>697</v>
      </c>
      <c r="AB106" s="29">
        <v>34</v>
      </c>
      <c r="AC106" s="48" t="s">
        <v>692</v>
      </c>
      <c r="AD106" s="23" t="s">
        <v>44</v>
      </c>
      <c r="AE106" s="22" t="s">
        <v>45</v>
      </c>
      <c r="AF106" s="37">
        <v>7.3879400000000004</v>
      </c>
      <c r="AG106" s="27">
        <f t="shared" si="0"/>
        <v>2.4626466666666667</v>
      </c>
      <c r="AH106" s="27">
        <f t="shared" si="1"/>
        <v>15.462646666666666</v>
      </c>
      <c r="AI106" s="23">
        <f t="shared" si="2"/>
        <v>46.38794</v>
      </c>
      <c r="AJ106" s="33"/>
    </row>
    <row r="107" spans="1:36" ht="14.4">
      <c r="A107" s="22" t="s">
        <v>385</v>
      </c>
      <c r="B107" s="22" t="s">
        <v>386</v>
      </c>
      <c r="C107" s="23" t="s">
        <v>588</v>
      </c>
      <c r="D107" s="23" t="s">
        <v>341</v>
      </c>
      <c r="E107" s="22" t="s">
        <v>340</v>
      </c>
      <c r="F107" s="23" t="s">
        <v>373</v>
      </c>
      <c r="G107" s="23" t="s">
        <v>615</v>
      </c>
      <c r="H107" s="22" t="s">
        <v>373</v>
      </c>
      <c r="I107" s="23" t="s">
        <v>374</v>
      </c>
      <c r="J107" s="23" t="s">
        <v>349</v>
      </c>
      <c r="K107" s="22" t="s">
        <v>28</v>
      </c>
      <c r="L107" s="22" t="s">
        <v>51</v>
      </c>
      <c r="M107" s="22" t="s">
        <v>627</v>
      </c>
      <c r="N107" s="28" t="s">
        <v>84</v>
      </c>
      <c r="O107" s="22">
        <v>0.82499999999999996</v>
      </c>
      <c r="P107" s="22">
        <v>26.7</v>
      </c>
      <c r="Q107" s="22" t="s">
        <v>52</v>
      </c>
      <c r="R107" s="22">
        <v>15</v>
      </c>
      <c r="S107" s="22">
        <v>1.196E-2</v>
      </c>
      <c r="T107" s="22">
        <v>69</v>
      </c>
      <c r="U107" s="22">
        <v>51</v>
      </c>
      <c r="V107" s="22">
        <v>51</v>
      </c>
      <c r="W107" s="23">
        <v>3</v>
      </c>
      <c r="X107" s="24">
        <v>13</v>
      </c>
      <c r="Y107" s="23">
        <v>39</v>
      </c>
      <c r="Z107" s="25">
        <v>1799</v>
      </c>
      <c r="AA107" s="46" t="s">
        <v>698</v>
      </c>
      <c r="AB107" s="29">
        <v>34</v>
      </c>
      <c r="AC107" s="48" t="s">
        <v>692</v>
      </c>
      <c r="AD107" s="23" t="s">
        <v>44</v>
      </c>
      <c r="AE107" s="22" t="s">
        <v>45</v>
      </c>
      <c r="AF107" s="37">
        <v>7.3879400000000004</v>
      </c>
      <c r="AG107" s="27">
        <f t="shared" si="0"/>
        <v>2.4626466666666667</v>
      </c>
      <c r="AH107" s="27">
        <f t="shared" si="1"/>
        <v>15.462646666666666</v>
      </c>
      <c r="AI107" s="23">
        <f t="shared" si="2"/>
        <v>46.38794</v>
      </c>
      <c r="AJ107" s="33"/>
    </row>
    <row r="108" spans="1:36" ht="14.4">
      <c r="A108" s="22" t="s">
        <v>387</v>
      </c>
      <c r="B108" s="22" t="s">
        <v>388</v>
      </c>
      <c r="C108" s="23" t="s">
        <v>590</v>
      </c>
      <c r="D108" s="23" t="s">
        <v>341</v>
      </c>
      <c r="E108" s="22" t="s">
        <v>340</v>
      </c>
      <c r="F108" s="23" t="s">
        <v>373</v>
      </c>
      <c r="G108" s="23" t="s">
        <v>615</v>
      </c>
      <c r="H108" s="22" t="s">
        <v>373</v>
      </c>
      <c r="I108" s="23" t="s">
        <v>374</v>
      </c>
      <c r="J108" s="23" t="s">
        <v>352</v>
      </c>
      <c r="K108" s="22" t="s">
        <v>28</v>
      </c>
      <c r="L108" s="22" t="s">
        <v>51</v>
      </c>
      <c r="M108" s="22" t="s">
        <v>627</v>
      </c>
      <c r="N108" s="28" t="s">
        <v>84</v>
      </c>
      <c r="O108" s="22">
        <v>0.82499999999999996</v>
      </c>
      <c r="P108" s="22">
        <v>27.3</v>
      </c>
      <c r="Q108" s="22" t="s">
        <v>52</v>
      </c>
      <c r="R108" s="22">
        <v>15</v>
      </c>
      <c r="S108" s="22">
        <v>1.196E-2</v>
      </c>
      <c r="T108" s="22">
        <v>69</v>
      </c>
      <c r="U108" s="22">
        <v>51</v>
      </c>
      <c r="V108" s="22">
        <v>51</v>
      </c>
      <c r="W108" s="23">
        <v>3</v>
      </c>
      <c r="X108" s="24">
        <v>13</v>
      </c>
      <c r="Y108" s="23">
        <v>39</v>
      </c>
      <c r="Z108" s="25">
        <v>1799</v>
      </c>
      <c r="AA108" s="46" t="s">
        <v>699</v>
      </c>
      <c r="AB108" s="29">
        <v>34</v>
      </c>
      <c r="AC108" s="48" t="s">
        <v>692</v>
      </c>
      <c r="AD108" s="23" t="s">
        <v>44</v>
      </c>
      <c r="AE108" s="22" t="s">
        <v>45</v>
      </c>
      <c r="AF108" s="37">
        <v>7.3879400000000004</v>
      </c>
      <c r="AG108" s="27">
        <f t="shared" si="0"/>
        <v>2.4626466666666667</v>
      </c>
      <c r="AH108" s="27">
        <f t="shared" si="1"/>
        <v>15.462646666666666</v>
      </c>
      <c r="AI108" s="23">
        <f t="shared" si="2"/>
        <v>46.38794</v>
      </c>
      <c r="AJ108" s="33"/>
    </row>
    <row r="109" spans="1:36" ht="14.4">
      <c r="A109" s="22" t="s">
        <v>389</v>
      </c>
      <c r="B109" s="22" t="s">
        <v>390</v>
      </c>
      <c r="C109" s="23" t="s">
        <v>569</v>
      </c>
      <c r="D109" s="23" t="s">
        <v>341</v>
      </c>
      <c r="E109" s="22" t="s">
        <v>340</v>
      </c>
      <c r="F109" s="23" t="s">
        <v>391</v>
      </c>
      <c r="G109" s="23" t="s">
        <v>615</v>
      </c>
      <c r="H109" s="22" t="s">
        <v>391</v>
      </c>
      <c r="I109" s="23" t="s">
        <v>392</v>
      </c>
      <c r="J109" s="23" t="s">
        <v>189</v>
      </c>
      <c r="K109" s="22" t="s">
        <v>28</v>
      </c>
      <c r="L109" s="22" t="s">
        <v>51</v>
      </c>
      <c r="M109" s="22" t="s">
        <v>627</v>
      </c>
      <c r="N109" s="28" t="s">
        <v>84</v>
      </c>
      <c r="O109" s="22">
        <v>0.995</v>
      </c>
      <c r="P109" s="22">
        <v>25.4</v>
      </c>
      <c r="Q109" s="22" t="s">
        <v>52</v>
      </c>
      <c r="R109" s="22">
        <v>15</v>
      </c>
      <c r="S109" s="22">
        <v>1.196E-2</v>
      </c>
      <c r="T109" s="22">
        <v>69</v>
      </c>
      <c r="U109" s="22">
        <v>51</v>
      </c>
      <c r="V109" s="22">
        <v>51</v>
      </c>
      <c r="W109" s="23">
        <v>3</v>
      </c>
      <c r="X109" s="24">
        <v>8.1</v>
      </c>
      <c r="Y109" s="23">
        <v>24.3</v>
      </c>
      <c r="Z109" s="25">
        <v>1099</v>
      </c>
      <c r="AA109" s="46" t="s">
        <v>700</v>
      </c>
      <c r="AB109" s="23" t="s">
        <v>32</v>
      </c>
      <c r="AC109" s="23" t="s">
        <v>32</v>
      </c>
      <c r="AD109" s="23" t="s">
        <v>44</v>
      </c>
      <c r="AE109" s="22" t="s">
        <v>45</v>
      </c>
      <c r="AF109" s="37">
        <v>4.6032599999999997</v>
      </c>
      <c r="AG109" s="27">
        <f t="shared" si="0"/>
        <v>1.5344199999999999</v>
      </c>
      <c r="AH109" s="27">
        <f t="shared" si="1"/>
        <v>9.6344199999999987</v>
      </c>
      <c r="AI109" s="23">
        <f t="shared" si="2"/>
        <v>28.903259999999996</v>
      </c>
      <c r="AJ109" s="33"/>
    </row>
    <row r="110" spans="1:36" ht="14.4">
      <c r="A110" s="22" t="s">
        <v>393</v>
      </c>
      <c r="B110" s="22" t="s">
        <v>394</v>
      </c>
      <c r="C110" s="23" t="s">
        <v>586</v>
      </c>
      <c r="D110" s="23" t="s">
        <v>341</v>
      </c>
      <c r="E110" s="22" t="s">
        <v>340</v>
      </c>
      <c r="F110" s="23" t="s">
        <v>391</v>
      </c>
      <c r="G110" s="23" t="s">
        <v>615</v>
      </c>
      <c r="H110" s="22" t="s">
        <v>391</v>
      </c>
      <c r="I110" s="23" t="s">
        <v>392</v>
      </c>
      <c r="J110" s="23" t="s">
        <v>346</v>
      </c>
      <c r="K110" s="22" t="s">
        <v>28</v>
      </c>
      <c r="L110" s="22" t="s">
        <v>51</v>
      </c>
      <c r="M110" s="22" t="s">
        <v>627</v>
      </c>
      <c r="N110" s="28" t="s">
        <v>84</v>
      </c>
      <c r="O110" s="22">
        <v>0.995</v>
      </c>
      <c r="P110" s="22">
        <v>26</v>
      </c>
      <c r="Q110" s="22" t="s">
        <v>52</v>
      </c>
      <c r="R110" s="22">
        <v>15</v>
      </c>
      <c r="S110" s="22">
        <v>1.196E-2</v>
      </c>
      <c r="T110" s="22">
        <v>69</v>
      </c>
      <c r="U110" s="22">
        <v>51</v>
      </c>
      <c r="V110" s="22">
        <v>51</v>
      </c>
      <c r="W110" s="23">
        <v>3</v>
      </c>
      <c r="X110" s="24">
        <v>8.1</v>
      </c>
      <c r="Y110" s="23">
        <v>24.3</v>
      </c>
      <c r="Z110" s="25">
        <v>1099</v>
      </c>
      <c r="AA110" s="46" t="s">
        <v>701</v>
      </c>
      <c r="AB110" s="29">
        <v>29</v>
      </c>
      <c r="AC110" s="48" t="s">
        <v>702</v>
      </c>
      <c r="AD110" s="23" t="s">
        <v>44</v>
      </c>
      <c r="AE110" s="22" t="s">
        <v>45</v>
      </c>
      <c r="AF110" s="37">
        <v>4.6032599999999997</v>
      </c>
      <c r="AG110" s="27">
        <f t="shared" si="0"/>
        <v>1.5344199999999999</v>
      </c>
      <c r="AH110" s="27">
        <f t="shared" si="1"/>
        <v>9.6344199999999987</v>
      </c>
      <c r="AI110" s="23">
        <f t="shared" si="2"/>
        <v>28.903259999999996</v>
      </c>
      <c r="AJ110" s="33"/>
    </row>
    <row r="111" spans="1:36" ht="14.4">
      <c r="A111" s="22" t="s">
        <v>395</v>
      </c>
      <c r="B111" s="22" t="s">
        <v>396</v>
      </c>
      <c r="C111" s="23" t="s">
        <v>591</v>
      </c>
      <c r="D111" s="23" t="s">
        <v>341</v>
      </c>
      <c r="E111" s="22" t="s">
        <v>340</v>
      </c>
      <c r="F111" s="23" t="s">
        <v>391</v>
      </c>
      <c r="G111" s="23" t="s">
        <v>615</v>
      </c>
      <c r="H111" s="22" t="s">
        <v>391</v>
      </c>
      <c r="I111" s="23" t="s">
        <v>392</v>
      </c>
      <c r="J111" s="23" t="s">
        <v>355</v>
      </c>
      <c r="K111" s="22" t="s">
        <v>28</v>
      </c>
      <c r="L111" s="22" t="s">
        <v>51</v>
      </c>
      <c r="M111" s="22" t="s">
        <v>627</v>
      </c>
      <c r="N111" s="28" t="s">
        <v>84</v>
      </c>
      <c r="O111" s="22">
        <v>0.995</v>
      </c>
      <c r="P111" s="22">
        <v>28</v>
      </c>
      <c r="Q111" s="22" t="s">
        <v>52</v>
      </c>
      <c r="R111" s="22">
        <v>15</v>
      </c>
      <c r="S111" s="22">
        <v>1.196E-2</v>
      </c>
      <c r="T111" s="22">
        <v>69</v>
      </c>
      <c r="U111" s="22">
        <v>51</v>
      </c>
      <c r="V111" s="22">
        <v>51</v>
      </c>
      <c r="W111" s="23">
        <v>3</v>
      </c>
      <c r="X111" s="24">
        <v>8.1</v>
      </c>
      <c r="Y111" s="23">
        <v>24.3</v>
      </c>
      <c r="Z111" s="25">
        <v>1099</v>
      </c>
      <c r="AA111" s="46" t="s">
        <v>703</v>
      </c>
      <c r="AB111" s="29">
        <v>29</v>
      </c>
      <c r="AC111" s="48" t="s">
        <v>702</v>
      </c>
      <c r="AD111" s="23" t="s">
        <v>44</v>
      </c>
      <c r="AE111" s="22" t="s">
        <v>45</v>
      </c>
      <c r="AF111" s="37">
        <v>4.6032599999999997</v>
      </c>
      <c r="AG111" s="27">
        <f t="shared" si="0"/>
        <v>1.5344199999999999</v>
      </c>
      <c r="AH111" s="27">
        <f t="shared" si="1"/>
        <v>9.6344199999999987</v>
      </c>
      <c r="AI111" s="23">
        <f t="shared" si="2"/>
        <v>28.903259999999996</v>
      </c>
      <c r="AJ111" s="33"/>
    </row>
    <row r="112" spans="1:36" ht="14.4">
      <c r="A112" s="22" t="s">
        <v>397</v>
      </c>
      <c r="B112" s="22" t="s">
        <v>398</v>
      </c>
      <c r="C112" s="23" t="s">
        <v>592</v>
      </c>
      <c r="D112" s="23" t="s">
        <v>341</v>
      </c>
      <c r="E112" s="22" t="s">
        <v>340</v>
      </c>
      <c r="F112" s="23" t="s">
        <v>391</v>
      </c>
      <c r="G112" s="23" t="s">
        <v>615</v>
      </c>
      <c r="H112" s="22" t="s">
        <v>391</v>
      </c>
      <c r="I112" s="23" t="s">
        <v>392</v>
      </c>
      <c r="J112" s="23" t="s">
        <v>358</v>
      </c>
      <c r="K112" s="22" t="s">
        <v>28</v>
      </c>
      <c r="L112" s="22" t="s">
        <v>51</v>
      </c>
      <c r="M112" s="22" t="s">
        <v>627</v>
      </c>
      <c r="N112" s="28" t="s">
        <v>84</v>
      </c>
      <c r="O112" s="22">
        <v>0.995</v>
      </c>
      <c r="P112" s="22">
        <v>29.5</v>
      </c>
      <c r="Q112" s="22" t="s">
        <v>52</v>
      </c>
      <c r="R112" s="22">
        <v>15</v>
      </c>
      <c r="S112" s="22">
        <v>1.196E-2</v>
      </c>
      <c r="T112" s="22">
        <v>69</v>
      </c>
      <c r="U112" s="22">
        <v>51</v>
      </c>
      <c r="V112" s="22">
        <v>51</v>
      </c>
      <c r="W112" s="23">
        <v>3</v>
      </c>
      <c r="X112" s="24">
        <v>8.1</v>
      </c>
      <c r="Y112" s="23">
        <v>24.3</v>
      </c>
      <c r="Z112" s="25">
        <v>1099</v>
      </c>
      <c r="AA112" s="46" t="s">
        <v>704</v>
      </c>
      <c r="AB112" s="29">
        <v>29</v>
      </c>
      <c r="AC112" s="48" t="s">
        <v>702</v>
      </c>
      <c r="AD112" s="23" t="s">
        <v>44</v>
      </c>
      <c r="AE112" s="22" t="s">
        <v>45</v>
      </c>
      <c r="AF112" s="37">
        <v>4.6032599999999997</v>
      </c>
      <c r="AG112" s="27">
        <f t="shared" si="0"/>
        <v>1.5344199999999999</v>
      </c>
      <c r="AH112" s="27">
        <f t="shared" si="1"/>
        <v>9.6344199999999987</v>
      </c>
      <c r="AI112" s="23">
        <f t="shared" si="2"/>
        <v>28.903259999999996</v>
      </c>
      <c r="AJ112" s="33"/>
    </row>
    <row r="113" spans="1:36" ht="14.4">
      <c r="A113" s="22" t="s">
        <v>399</v>
      </c>
      <c r="B113" s="22" t="s">
        <v>400</v>
      </c>
      <c r="C113" s="23" t="s">
        <v>558</v>
      </c>
      <c r="D113" s="23" t="s">
        <v>24</v>
      </c>
      <c r="E113" s="22" t="s">
        <v>56</v>
      </c>
      <c r="F113" s="23" t="s">
        <v>25</v>
      </c>
      <c r="G113" s="23" t="s">
        <v>615</v>
      </c>
      <c r="H113" s="22" t="s">
        <v>25</v>
      </c>
      <c r="I113" s="23" t="s">
        <v>26</v>
      </c>
      <c r="J113" s="23" t="s">
        <v>42</v>
      </c>
      <c r="K113" s="22" t="s">
        <v>28</v>
      </c>
      <c r="L113" s="22" t="s">
        <v>51</v>
      </c>
      <c r="M113" s="22" t="s">
        <v>616</v>
      </c>
      <c r="N113" s="28" t="s">
        <v>30</v>
      </c>
      <c r="O113" s="22">
        <v>0.154</v>
      </c>
      <c r="P113" s="22">
        <v>22.5</v>
      </c>
      <c r="Q113" s="22" t="s">
        <v>52</v>
      </c>
      <c r="R113" s="22">
        <v>84</v>
      </c>
      <c r="S113" s="22">
        <v>7.7999999999999999E-4</v>
      </c>
      <c r="T113" s="22">
        <v>46</v>
      </c>
      <c r="U113" s="22">
        <v>31</v>
      </c>
      <c r="V113" s="22">
        <v>46</v>
      </c>
      <c r="W113" s="23">
        <v>204</v>
      </c>
      <c r="X113" s="24">
        <v>13.7</v>
      </c>
      <c r="Y113" s="23">
        <v>2794.8</v>
      </c>
      <c r="Z113" s="25">
        <v>0</v>
      </c>
      <c r="AA113" s="22" t="s">
        <v>644</v>
      </c>
      <c r="AB113" s="23" t="s">
        <v>32</v>
      </c>
      <c r="AC113" s="23" t="s">
        <v>32</v>
      </c>
      <c r="AD113" s="23" t="s">
        <v>237</v>
      </c>
      <c r="AE113" s="22" t="s">
        <v>237</v>
      </c>
      <c r="AF113" s="37">
        <v>529.43146000000002</v>
      </c>
      <c r="AG113" s="27">
        <f t="shared" si="0"/>
        <v>2.5952522549019608</v>
      </c>
      <c r="AH113" s="27">
        <f t="shared" si="1"/>
        <v>16.29525225490196</v>
      </c>
      <c r="AI113" s="23">
        <f t="shared" si="2"/>
        <v>3324.23146</v>
      </c>
      <c r="AJ113" s="33"/>
    </row>
    <row r="114" spans="1:36" ht="14.4">
      <c r="A114" s="22" t="s">
        <v>401</v>
      </c>
      <c r="B114" s="22" t="s">
        <v>402</v>
      </c>
      <c r="C114" s="23" t="s">
        <v>564</v>
      </c>
      <c r="D114" s="23" t="s">
        <v>24</v>
      </c>
      <c r="E114" s="22" t="s">
        <v>403</v>
      </c>
      <c r="F114" s="23" t="s">
        <v>404</v>
      </c>
      <c r="G114" s="23" t="s">
        <v>615</v>
      </c>
      <c r="H114" s="22" t="s">
        <v>405</v>
      </c>
      <c r="I114" s="23" t="s">
        <v>26</v>
      </c>
      <c r="J114" s="23" t="s">
        <v>127</v>
      </c>
      <c r="K114" s="22" t="s">
        <v>84</v>
      </c>
      <c r="L114" s="22" t="s">
        <v>51</v>
      </c>
      <c r="M114" s="22" t="s">
        <v>624</v>
      </c>
      <c r="N114" s="28" t="s">
        <v>77</v>
      </c>
      <c r="O114" s="22">
        <v>0.14000000000000001</v>
      </c>
      <c r="P114" s="22" t="s">
        <v>406</v>
      </c>
      <c r="Q114" s="22" t="s">
        <v>52</v>
      </c>
      <c r="R114" s="22">
        <v>50</v>
      </c>
      <c r="S114" s="22">
        <v>3.5899999999999999E-3</v>
      </c>
      <c r="T114" s="22">
        <v>69</v>
      </c>
      <c r="U114" s="22">
        <v>51</v>
      </c>
      <c r="V114" s="22">
        <v>51</v>
      </c>
      <c r="W114" s="23">
        <v>20</v>
      </c>
      <c r="X114" s="24">
        <v>12.8</v>
      </c>
      <c r="Y114" s="23">
        <v>256</v>
      </c>
      <c r="Z114" s="25">
        <v>0</v>
      </c>
      <c r="AA114" s="22" t="s">
        <v>644</v>
      </c>
      <c r="AB114" s="30">
        <v>39</v>
      </c>
      <c r="AC114" s="48" t="s">
        <v>705</v>
      </c>
      <c r="AD114" s="31">
        <v>39.99</v>
      </c>
      <c r="AE114" s="45" t="s">
        <v>706</v>
      </c>
      <c r="AF114" s="37">
        <v>48.495220000000003</v>
      </c>
      <c r="AG114" s="27">
        <f t="shared" si="0"/>
        <v>2.4247610000000002</v>
      </c>
      <c r="AH114" s="27">
        <f t="shared" si="1"/>
        <v>15.224761000000001</v>
      </c>
      <c r="AI114" s="23">
        <f t="shared" si="2"/>
        <v>304.49522000000002</v>
      </c>
      <c r="AJ114" s="33"/>
    </row>
    <row r="115" spans="1:36" ht="14.4">
      <c r="A115" s="22" t="s">
        <v>407</v>
      </c>
      <c r="B115" s="22" t="s">
        <v>408</v>
      </c>
      <c r="C115" s="23" t="s">
        <v>558</v>
      </c>
      <c r="D115" s="23" t="s">
        <v>24</v>
      </c>
      <c r="E115" s="22" t="s">
        <v>409</v>
      </c>
      <c r="F115" s="23" t="s">
        <v>410</v>
      </c>
      <c r="G115" s="23" t="s">
        <v>615</v>
      </c>
      <c r="H115" s="22" t="s">
        <v>410</v>
      </c>
      <c r="I115" s="23" t="s">
        <v>26</v>
      </c>
      <c r="J115" s="23" t="s">
        <v>42</v>
      </c>
      <c r="K115" s="22" t="s">
        <v>28</v>
      </c>
      <c r="L115" s="22" t="s">
        <v>51</v>
      </c>
      <c r="M115" s="22" t="s">
        <v>616</v>
      </c>
      <c r="N115" s="28" t="s">
        <v>30</v>
      </c>
      <c r="O115" s="22">
        <v>5.1999999999999998E-2</v>
      </c>
      <c r="P115" s="22" t="s">
        <v>411</v>
      </c>
      <c r="Q115" s="22" t="s">
        <v>52</v>
      </c>
      <c r="R115" s="22">
        <v>50</v>
      </c>
      <c r="S115" s="22">
        <v>1.7099999999999999E-3</v>
      </c>
      <c r="T115" s="22">
        <v>40</v>
      </c>
      <c r="U115" s="22">
        <v>17</v>
      </c>
      <c r="V115" s="22">
        <v>3</v>
      </c>
      <c r="W115" s="23">
        <v>10</v>
      </c>
      <c r="X115" s="24">
        <v>2.6</v>
      </c>
      <c r="Y115" s="23">
        <v>26</v>
      </c>
      <c r="Z115" s="25">
        <v>399</v>
      </c>
      <c r="AA115" s="46" t="s">
        <v>707</v>
      </c>
      <c r="AB115" s="29">
        <v>10</v>
      </c>
      <c r="AC115" s="48" t="s">
        <v>708</v>
      </c>
      <c r="AD115" s="23" t="s">
        <v>44</v>
      </c>
      <c r="AE115" s="22" t="s">
        <v>44</v>
      </c>
      <c r="AF115" s="37">
        <v>4.9253</v>
      </c>
      <c r="AG115" s="27">
        <f t="shared" si="0"/>
        <v>0.49253000000000002</v>
      </c>
      <c r="AH115" s="27">
        <f t="shared" si="1"/>
        <v>3.09253</v>
      </c>
      <c r="AI115" s="23">
        <f t="shared" si="2"/>
        <v>30.9253</v>
      </c>
      <c r="AJ115" s="33"/>
    </row>
    <row r="116" spans="1:36" ht="14.4">
      <c r="A116" s="22" t="s">
        <v>412</v>
      </c>
      <c r="B116" s="22" t="s">
        <v>413</v>
      </c>
      <c r="C116" s="23" t="s">
        <v>556</v>
      </c>
      <c r="D116" s="23" t="s">
        <v>24</v>
      </c>
      <c r="E116" s="22" t="s">
        <v>409</v>
      </c>
      <c r="F116" s="23" t="s">
        <v>414</v>
      </c>
      <c r="G116" s="23" t="s">
        <v>615</v>
      </c>
      <c r="H116" s="22" t="s">
        <v>414</v>
      </c>
      <c r="I116" s="23" t="s">
        <v>26</v>
      </c>
      <c r="J116" s="23" t="s">
        <v>27</v>
      </c>
      <c r="K116" s="22">
        <v>0</v>
      </c>
      <c r="L116" s="22" t="s">
        <v>51</v>
      </c>
      <c r="M116" s="22" t="s">
        <v>616</v>
      </c>
      <c r="N116" s="28" t="s">
        <v>30</v>
      </c>
      <c r="O116" s="22">
        <v>4.5999999999999999E-2</v>
      </c>
      <c r="P116" s="22" t="s">
        <v>415</v>
      </c>
      <c r="Q116" s="22" t="s">
        <v>52</v>
      </c>
      <c r="R116" s="22">
        <v>50</v>
      </c>
      <c r="S116" s="22">
        <v>1.7099999999999999E-3</v>
      </c>
      <c r="T116" s="22">
        <v>40</v>
      </c>
      <c r="U116" s="22">
        <v>17</v>
      </c>
      <c r="V116" s="22">
        <v>3</v>
      </c>
      <c r="W116" s="23">
        <v>12</v>
      </c>
      <c r="X116" s="24">
        <v>2</v>
      </c>
      <c r="Y116" s="23">
        <v>24</v>
      </c>
      <c r="Z116" s="25">
        <v>249</v>
      </c>
      <c r="AA116" s="46" t="s">
        <v>709</v>
      </c>
      <c r="AB116" s="23" t="s">
        <v>32</v>
      </c>
      <c r="AC116" s="23" t="s">
        <v>32</v>
      </c>
      <c r="AD116" s="26">
        <v>9.99</v>
      </c>
      <c r="AE116" s="45" t="s">
        <v>783</v>
      </c>
      <c r="AF116" s="37">
        <v>4.54643</v>
      </c>
      <c r="AG116" s="27">
        <f t="shared" si="0"/>
        <v>0.37886916666666665</v>
      </c>
      <c r="AH116" s="27">
        <f t="shared" si="1"/>
        <v>2.3788691666666666</v>
      </c>
      <c r="AI116" s="23">
        <f t="shared" si="2"/>
        <v>28.546430000000001</v>
      </c>
      <c r="AJ116" s="33"/>
    </row>
    <row r="117" spans="1:36" ht="14.4">
      <c r="A117" s="22" t="s">
        <v>416</v>
      </c>
      <c r="B117" s="22" t="s">
        <v>417</v>
      </c>
      <c r="C117" s="23" t="s">
        <v>557</v>
      </c>
      <c r="D117" s="23" t="s">
        <v>24</v>
      </c>
      <c r="E117" s="22" t="s">
        <v>409</v>
      </c>
      <c r="F117" s="23" t="s">
        <v>414</v>
      </c>
      <c r="G117" s="23" t="s">
        <v>615</v>
      </c>
      <c r="H117" s="22" t="s">
        <v>414</v>
      </c>
      <c r="I117" s="23" t="s">
        <v>26</v>
      </c>
      <c r="J117" s="23" t="s">
        <v>36</v>
      </c>
      <c r="K117" s="22">
        <v>0</v>
      </c>
      <c r="L117" s="22" t="s">
        <v>51</v>
      </c>
      <c r="M117" s="22" t="s">
        <v>616</v>
      </c>
      <c r="N117" s="28" t="s">
        <v>30</v>
      </c>
      <c r="O117" s="22">
        <v>0.04</v>
      </c>
      <c r="P117" s="22" t="s">
        <v>418</v>
      </c>
      <c r="Q117" s="22" t="s">
        <v>52</v>
      </c>
      <c r="R117" s="22">
        <v>50</v>
      </c>
      <c r="S117" s="22">
        <v>1.7099999999999999E-3</v>
      </c>
      <c r="T117" s="22">
        <v>40</v>
      </c>
      <c r="U117" s="22">
        <v>17</v>
      </c>
      <c r="V117" s="22">
        <v>3</v>
      </c>
      <c r="W117" s="23">
        <v>12</v>
      </c>
      <c r="X117" s="24">
        <v>2</v>
      </c>
      <c r="Y117" s="23">
        <v>24</v>
      </c>
      <c r="Z117" s="25">
        <v>249</v>
      </c>
      <c r="AA117" s="46" t="s">
        <v>710</v>
      </c>
      <c r="AB117" s="23" t="s">
        <v>32</v>
      </c>
      <c r="AC117" s="23" t="s">
        <v>32</v>
      </c>
      <c r="AD117" s="23" t="s">
        <v>44</v>
      </c>
      <c r="AE117" s="22" t="s">
        <v>44</v>
      </c>
      <c r="AF117" s="37">
        <v>4.54643</v>
      </c>
      <c r="AG117" s="27">
        <f t="shared" si="0"/>
        <v>0.37886916666666665</v>
      </c>
      <c r="AH117" s="27">
        <f t="shared" si="1"/>
        <v>2.3788691666666666</v>
      </c>
      <c r="AI117" s="23">
        <f t="shared" si="2"/>
        <v>28.546430000000001</v>
      </c>
      <c r="AJ117" s="33"/>
    </row>
    <row r="118" spans="1:36" ht="14.4">
      <c r="A118" s="22" t="s">
        <v>419</v>
      </c>
      <c r="B118" s="22" t="s">
        <v>420</v>
      </c>
      <c r="C118" s="23" t="s">
        <v>558</v>
      </c>
      <c r="D118" s="23" t="s">
        <v>24</v>
      </c>
      <c r="E118" s="22" t="s">
        <v>409</v>
      </c>
      <c r="F118" s="23" t="s">
        <v>421</v>
      </c>
      <c r="G118" s="23" t="s">
        <v>615</v>
      </c>
      <c r="H118" s="22" t="s">
        <v>422</v>
      </c>
      <c r="I118" s="23" t="s">
        <v>26</v>
      </c>
      <c r="J118" s="23" t="s">
        <v>42</v>
      </c>
      <c r="K118" s="22" t="s">
        <v>28</v>
      </c>
      <c r="L118" s="22" t="s">
        <v>51</v>
      </c>
      <c r="M118" s="22" t="s">
        <v>616</v>
      </c>
      <c r="N118" s="28" t="s">
        <v>30</v>
      </c>
      <c r="O118" s="22">
        <v>0.13</v>
      </c>
      <c r="P118" s="22" t="s">
        <v>411</v>
      </c>
      <c r="Q118" s="22" t="s">
        <v>52</v>
      </c>
      <c r="R118" s="22">
        <v>50</v>
      </c>
      <c r="S118" s="22">
        <v>1.7099999999999999E-3</v>
      </c>
      <c r="T118" s="22">
        <v>40</v>
      </c>
      <c r="U118" s="22">
        <v>17</v>
      </c>
      <c r="V118" s="22">
        <v>3</v>
      </c>
      <c r="W118" s="23">
        <v>10</v>
      </c>
      <c r="X118" s="24">
        <v>4.2</v>
      </c>
      <c r="Y118" s="23">
        <v>42</v>
      </c>
      <c r="Z118" s="25">
        <v>599</v>
      </c>
      <c r="AA118" s="46" t="s">
        <v>711</v>
      </c>
      <c r="AB118" s="23" t="s">
        <v>32</v>
      </c>
      <c r="AC118" s="23" t="s">
        <v>32</v>
      </c>
      <c r="AD118" s="23" t="s">
        <v>44</v>
      </c>
      <c r="AE118" s="22" t="s">
        <v>44</v>
      </c>
      <c r="AF118" s="37">
        <v>7.9562499999999998</v>
      </c>
      <c r="AG118" s="27">
        <f t="shared" si="0"/>
        <v>0.79562500000000003</v>
      </c>
      <c r="AH118" s="27">
        <f t="shared" si="1"/>
        <v>4.9956250000000004</v>
      </c>
      <c r="AI118" s="23">
        <f t="shared" si="2"/>
        <v>49.956250000000004</v>
      </c>
      <c r="AJ118" s="33"/>
    </row>
    <row r="119" spans="1:36" ht="14.4">
      <c r="A119" s="22" t="s">
        <v>423</v>
      </c>
      <c r="B119" s="22" t="s">
        <v>424</v>
      </c>
      <c r="C119" s="23" t="s">
        <v>566</v>
      </c>
      <c r="D119" s="23" t="s">
        <v>24</v>
      </c>
      <c r="E119" s="22" t="s">
        <v>409</v>
      </c>
      <c r="F119" s="23" t="s">
        <v>414</v>
      </c>
      <c r="G119" s="23" t="s">
        <v>615</v>
      </c>
      <c r="H119" s="22" t="s">
        <v>414</v>
      </c>
      <c r="I119" s="23" t="s">
        <v>26</v>
      </c>
      <c r="J119" s="23" t="s">
        <v>127</v>
      </c>
      <c r="K119" s="22">
        <v>0</v>
      </c>
      <c r="L119" s="22" t="s">
        <v>51</v>
      </c>
      <c r="M119" s="22" t="s">
        <v>616</v>
      </c>
      <c r="N119" s="28" t="s">
        <v>30</v>
      </c>
      <c r="O119" s="22">
        <v>3.5000000000000003E-2</v>
      </c>
      <c r="P119" s="22" t="s">
        <v>425</v>
      </c>
      <c r="Q119" s="22" t="s">
        <v>52</v>
      </c>
      <c r="R119" s="22">
        <v>50</v>
      </c>
      <c r="S119" s="22">
        <v>1.7099999999999999E-3</v>
      </c>
      <c r="T119" s="22">
        <v>40</v>
      </c>
      <c r="U119" s="22">
        <v>17</v>
      </c>
      <c r="V119" s="22">
        <v>3</v>
      </c>
      <c r="W119" s="23">
        <v>12</v>
      </c>
      <c r="X119" s="24">
        <v>2</v>
      </c>
      <c r="Y119" s="23">
        <v>24</v>
      </c>
      <c r="Z119" s="25">
        <v>249</v>
      </c>
      <c r="AA119" s="46" t="s">
        <v>712</v>
      </c>
      <c r="AB119" s="23" t="s">
        <v>32</v>
      </c>
      <c r="AC119" s="23" t="s">
        <v>32</v>
      </c>
      <c r="AD119" s="26">
        <v>14.99</v>
      </c>
      <c r="AE119" s="45" t="s">
        <v>713</v>
      </c>
      <c r="AF119" s="37">
        <v>4.54643</v>
      </c>
      <c r="AG119" s="27">
        <f t="shared" si="0"/>
        <v>0.37886916666666665</v>
      </c>
      <c r="AH119" s="27">
        <f t="shared" si="1"/>
        <v>2.3788691666666666</v>
      </c>
      <c r="AI119" s="23">
        <f t="shared" si="2"/>
        <v>28.546430000000001</v>
      </c>
      <c r="AJ119" s="33"/>
    </row>
    <row r="120" spans="1:36" ht="14.4">
      <c r="A120" s="22" t="s">
        <v>426</v>
      </c>
      <c r="B120" s="22" t="s">
        <v>427</v>
      </c>
      <c r="C120" s="23" t="s">
        <v>575</v>
      </c>
      <c r="D120" s="23" t="s">
        <v>24</v>
      </c>
      <c r="E120" s="22" t="s">
        <v>428</v>
      </c>
      <c r="F120" s="23" t="s">
        <v>429</v>
      </c>
      <c r="G120" s="23" t="s">
        <v>615</v>
      </c>
      <c r="H120" s="22" t="s">
        <v>429</v>
      </c>
      <c r="I120" s="23" t="s">
        <v>430</v>
      </c>
      <c r="J120" s="23" t="s">
        <v>70</v>
      </c>
      <c r="K120" s="22" t="s">
        <v>28</v>
      </c>
      <c r="L120" s="22" t="s">
        <v>51</v>
      </c>
      <c r="M120" s="22" t="s">
        <v>616</v>
      </c>
      <c r="N120" s="28" t="s">
        <v>30</v>
      </c>
      <c r="O120" s="22">
        <v>1.06</v>
      </c>
      <c r="P120" s="22" t="s">
        <v>431</v>
      </c>
      <c r="Q120" s="22" t="s">
        <v>52</v>
      </c>
      <c r="R120" s="22">
        <v>12</v>
      </c>
      <c r="S120" s="22">
        <v>1.4959999999999999E-2</v>
      </c>
      <c r="T120" s="22">
        <v>30</v>
      </c>
      <c r="U120" s="22">
        <v>23</v>
      </c>
      <c r="V120" s="22">
        <v>15</v>
      </c>
      <c r="W120" s="23">
        <v>5</v>
      </c>
      <c r="X120" s="24">
        <v>19</v>
      </c>
      <c r="Y120" s="23">
        <v>95</v>
      </c>
      <c r="Z120" s="25">
        <v>2899</v>
      </c>
      <c r="AA120" s="46" t="s">
        <v>714</v>
      </c>
      <c r="AB120" s="23" t="s">
        <v>32</v>
      </c>
      <c r="AC120" s="23" t="s">
        <v>32</v>
      </c>
      <c r="AD120" s="23" t="s">
        <v>44</v>
      </c>
      <c r="AE120" s="22" t="s">
        <v>45</v>
      </c>
      <c r="AF120" s="37">
        <v>17.996269999999999</v>
      </c>
      <c r="AG120" s="27">
        <f t="shared" si="0"/>
        <v>3.5992539999999997</v>
      </c>
      <c r="AH120" s="27">
        <f t="shared" si="1"/>
        <v>22.599253999999998</v>
      </c>
      <c r="AI120" s="23">
        <f t="shared" si="2"/>
        <v>112.99627</v>
      </c>
      <c r="AJ120" s="33"/>
    </row>
    <row r="121" spans="1:36" ht="14.4">
      <c r="A121" s="22" t="s">
        <v>432</v>
      </c>
      <c r="B121" s="22" t="s">
        <v>433</v>
      </c>
      <c r="C121" s="23" t="s">
        <v>576</v>
      </c>
      <c r="D121" s="23" t="s">
        <v>24</v>
      </c>
      <c r="E121" s="22" t="s">
        <v>428</v>
      </c>
      <c r="F121" s="23" t="s">
        <v>429</v>
      </c>
      <c r="G121" s="23" t="s">
        <v>615</v>
      </c>
      <c r="H121" s="22" t="s">
        <v>429</v>
      </c>
      <c r="I121" s="23" t="s">
        <v>430</v>
      </c>
      <c r="J121" s="23" t="s">
        <v>434</v>
      </c>
      <c r="K121" s="22" t="s">
        <v>28</v>
      </c>
      <c r="L121" s="22" t="s">
        <v>51</v>
      </c>
      <c r="M121" s="22" t="s">
        <v>616</v>
      </c>
      <c r="N121" s="28" t="s">
        <v>30</v>
      </c>
      <c r="O121" s="22">
        <v>1.06</v>
      </c>
      <c r="P121" s="22" t="s">
        <v>435</v>
      </c>
      <c r="Q121" s="22" t="s">
        <v>52</v>
      </c>
      <c r="R121" s="22">
        <v>12</v>
      </c>
      <c r="S121" s="22">
        <v>1.4959999999999999E-2</v>
      </c>
      <c r="T121" s="22">
        <v>30</v>
      </c>
      <c r="U121" s="22">
        <v>23</v>
      </c>
      <c r="V121" s="22">
        <v>15</v>
      </c>
      <c r="W121" s="23">
        <v>5</v>
      </c>
      <c r="X121" s="24">
        <v>19</v>
      </c>
      <c r="Y121" s="23">
        <v>95</v>
      </c>
      <c r="Z121" s="25">
        <v>2899</v>
      </c>
      <c r="AA121" s="46" t="s">
        <v>715</v>
      </c>
      <c r="AB121" s="23" t="s">
        <v>32</v>
      </c>
      <c r="AC121" s="23" t="s">
        <v>32</v>
      </c>
      <c r="AD121" s="23" t="s">
        <v>44</v>
      </c>
      <c r="AE121" s="22" t="s">
        <v>45</v>
      </c>
      <c r="AF121" s="37">
        <v>17.996269999999999</v>
      </c>
      <c r="AG121" s="27">
        <f t="shared" si="0"/>
        <v>3.5992539999999997</v>
      </c>
      <c r="AH121" s="27">
        <f t="shared" si="1"/>
        <v>22.599253999999998</v>
      </c>
      <c r="AI121" s="23">
        <f t="shared" si="2"/>
        <v>112.99627</v>
      </c>
      <c r="AJ121" s="33"/>
    </row>
    <row r="122" spans="1:36" ht="14.4">
      <c r="A122" s="22" t="s">
        <v>436</v>
      </c>
      <c r="B122" s="22" t="s">
        <v>437</v>
      </c>
      <c r="C122" s="23" t="s">
        <v>577</v>
      </c>
      <c r="D122" s="23" t="s">
        <v>24</v>
      </c>
      <c r="E122" s="22" t="s">
        <v>428</v>
      </c>
      <c r="F122" s="23" t="s">
        <v>429</v>
      </c>
      <c r="G122" s="23" t="s">
        <v>615</v>
      </c>
      <c r="H122" s="22" t="s">
        <v>429</v>
      </c>
      <c r="I122" s="23" t="s">
        <v>430</v>
      </c>
      <c r="J122" s="23" t="s">
        <v>213</v>
      </c>
      <c r="K122" s="22" t="s">
        <v>28</v>
      </c>
      <c r="L122" s="22" t="s">
        <v>51</v>
      </c>
      <c r="M122" s="22" t="s">
        <v>616</v>
      </c>
      <c r="N122" s="28" t="s">
        <v>30</v>
      </c>
      <c r="O122" s="22">
        <v>1.06</v>
      </c>
      <c r="P122" s="22" t="s">
        <v>438</v>
      </c>
      <c r="Q122" s="22" t="s">
        <v>52</v>
      </c>
      <c r="R122" s="22">
        <v>12</v>
      </c>
      <c r="S122" s="22">
        <v>1.4959999999999999E-2</v>
      </c>
      <c r="T122" s="22">
        <v>30</v>
      </c>
      <c r="U122" s="22">
        <v>23</v>
      </c>
      <c r="V122" s="22">
        <v>15</v>
      </c>
      <c r="W122" s="23">
        <v>5</v>
      </c>
      <c r="X122" s="24">
        <v>19</v>
      </c>
      <c r="Y122" s="23">
        <v>95</v>
      </c>
      <c r="Z122" s="25">
        <v>2899</v>
      </c>
      <c r="AA122" s="46" t="s">
        <v>716</v>
      </c>
      <c r="AB122" s="23" t="s">
        <v>32</v>
      </c>
      <c r="AC122" s="23" t="s">
        <v>32</v>
      </c>
      <c r="AD122" s="23" t="s">
        <v>44</v>
      </c>
      <c r="AE122" s="22" t="s">
        <v>45</v>
      </c>
      <c r="AF122" s="37">
        <v>17.996269999999999</v>
      </c>
      <c r="AG122" s="27">
        <f t="shared" si="0"/>
        <v>3.5992539999999997</v>
      </c>
      <c r="AH122" s="27">
        <f t="shared" si="1"/>
        <v>22.599253999999998</v>
      </c>
      <c r="AI122" s="23">
        <f t="shared" si="2"/>
        <v>112.99627</v>
      </c>
      <c r="AJ122" s="33"/>
    </row>
    <row r="123" spans="1:36" ht="14.4">
      <c r="A123" s="22" t="s">
        <v>439</v>
      </c>
      <c r="B123" s="22" t="s">
        <v>440</v>
      </c>
      <c r="C123" s="23" t="s">
        <v>578</v>
      </c>
      <c r="D123" s="23" t="s">
        <v>24</v>
      </c>
      <c r="E123" s="22" t="s">
        <v>428</v>
      </c>
      <c r="F123" s="23" t="s">
        <v>429</v>
      </c>
      <c r="G123" s="23" t="s">
        <v>615</v>
      </c>
      <c r="H123" s="22" t="s">
        <v>429</v>
      </c>
      <c r="I123" s="23" t="s">
        <v>430</v>
      </c>
      <c r="J123" s="23" t="s">
        <v>441</v>
      </c>
      <c r="K123" s="22" t="s">
        <v>28</v>
      </c>
      <c r="L123" s="22" t="s">
        <v>51</v>
      </c>
      <c r="M123" s="22" t="s">
        <v>616</v>
      </c>
      <c r="N123" s="28" t="s">
        <v>30</v>
      </c>
      <c r="O123" s="22">
        <v>1.06</v>
      </c>
      <c r="P123" s="22" t="s">
        <v>442</v>
      </c>
      <c r="Q123" s="22" t="s">
        <v>52</v>
      </c>
      <c r="R123" s="22">
        <v>12</v>
      </c>
      <c r="S123" s="22">
        <v>1.4959999999999999E-2</v>
      </c>
      <c r="T123" s="22">
        <v>30</v>
      </c>
      <c r="U123" s="22">
        <v>23</v>
      </c>
      <c r="V123" s="22">
        <v>15</v>
      </c>
      <c r="W123" s="23">
        <v>5</v>
      </c>
      <c r="X123" s="24">
        <v>19</v>
      </c>
      <c r="Y123" s="23">
        <v>95</v>
      </c>
      <c r="Z123" s="25">
        <v>0</v>
      </c>
      <c r="AA123" s="22" t="s">
        <v>644</v>
      </c>
      <c r="AB123" s="23" t="s">
        <v>32</v>
      </c>
      <c r="AC123" s="23" t="s">
        <v>32</v>
      </c>
      <c r="AD123" s="23" t="s">
        <v>44</v>
      </c>
      <c r="AE123" s="22" t="s">
        <v>45</v>
      </c>
      <c r="AF123" s="37">
        <v>17.996269999999999</v>
      </c>
      <c r="AG123" s="27">
        <f t="shared" si="0"/>
        <v>3.5992539999999997</v>
      </c>
      <c r="AH123" s="27">
        <f t="shared" si="1"/>
        <v>22.599253999999998</v>
      </c>
      <c r="AI123" s="23">
        <f t="shared" si="2"/>
        <v>112.99627</v>
      </c>
      <c r="AJ123" s="33"/>
    </row>
    <row r="124" spans="1:36" ht="14.4">
      <c r="A124" s="22" t="s">
        <v>443</v>
      </c>
      <c r="B124" s="22" t="s">
        <v>444</v>
      </c>
      <c r="C124" s="23" t="s">
        <v>579</v>
      </c>
      <c r="D124" s="23" t="s">
        <v>24</v>
      </c>
      <c r="E124" s="22" t="s">
        <v>428</v>
      </c>
      <c r="F124" s="23" t="s">
        <v>429</v>
      </c>
      <c r="G124" s="23" t="s">
        <v>615</v>
      </c>
      <c r="H124" s="22" t="s">
        <v>429</v>
      </c>
      <c r="I124" s="23" t="s">
        <v>430</v>
      </c>
      <c r="J124" s="23" t="s">
        <v>445</v>
      </c>
      <c r="K124" s="22" t="s">
        <v>28</v>
      </c>
      <c r="L124" s="22" t="s">
        <v>51</v>
      </c>
      <c r="M124" s="22" t="s">
        <v>616</v>
      </c>
      <c r="N124" s="28" t="s">
        <v>30</v>
      </c>
      <c r="O124" s="22">
        <v>1.06</v>
      </c>
      <c r="P124" s="22" t="s">
        <v>446</v>
      </c>
      <c r="Q124" s="22" t="s">
        <v>52</v>
      </c>
      <c r="R124" s="22">
        <v>12</v>
      </c>
      <c r="S124" s="22">
        <v>1.4959999999999999E-2</v>
      </c>
      <c r="T124" s="22">
        <v>30</v>
      </c>
      <c r="U124" s="22">
        <v>23</v>
      </c>
      <c r="V124" s="22">
        <v>15</v>
      </c>
      <c r="W124" s="23">
        <v>5</v>
      </c>
      <c r="X124" s="24">
        <v>19</v>
      </c>
      <c r="Y124" s="23">
        <v>95</v>
      </c>
      <c r="Z124" s="25">
        <v>2899</v>
      </c>
      <c r="AA124" s="46" t="s">
        <v>717</v>
      </c>
      <c r="AB124" s="23" t="s">
        <v>32</v>
      </c>
      <c r="AC124" s="23" t="s">
        <v>32</v>
      </c>
      <c r="AD124" s="23" t="s">
        <v>44</v>
      </c>
      <c r="AE124" s="22" t="s">
        <v>45</v>
      </c>
      <c r="AF124" s="37">
        <v>17.996269999999999</v>
      </c>
      <c r="AG124" s="27">
        <f t="shared" si="0"/>
        <v>3.5992539999999997</v>
      </c>
      <c r="AH124" s="27">
        <f t="shared" si="1"/>
        <v>22.599253999999998</v>
      </c>
      <c r="AI124" s="23">
        <f t="shared" si="2"/>
        <v>112.99627</v>
      </c>
      <c r="AJ124" s="33"/>
    </row>
    <row r="125" spans="1:36" ht="14.4">
      <c r="A125" s="22" t="s">
        <v>447</v>
      </c>
      <c r="B125" s="22" t="s">
        <v>448</v>
      </c>
      <c r="C125" s="23" t="s">
        <v>578</v>
      </c>
      <c r="D125" s="23" t="s">
        <v>24</v>
      </c>
      <c r="E125" s="22" t="s">
        <v>428</v>
      </c>
      <c r="F125" s="23" t="s">
        <v>449</v>
      </c>
      <c r="G125" s="23" t="s">
        <v>615</v>
      </c>
      <c r="H125" s="22" t="s">
        <v>449</v>
      </c>
      <c r="I125" s="23" t="s">
        <v>430</v>
      </c>
      <c r="J125" s="23" t="s">
        <v>441</v>
      </c>
      <c r="K125" s="22" t="s">
        <v>28</v>
      </c>
      <c r="L125" s="22" t="s">
        <v>51</v>
      </c>
      <c r="M125" s="22" t="s">
        <v>616</v>
      </c>
      <c r="N125" s="28" t="s">
        <v>30</v>
      </c>
      <c r="O125" s="22">
        <v>0.9</v>
      </c>
      <c r="P125" s="22" t="s">
        <v>442</v>
      </c>
      <c r="Q125" s="22" t="s">
        <v>52</v>
      </c>
      <c r="R125" s="22">
        <v>12</v>
      </c>
      <c r="S125" s="22">
        <v>1.4959999999999999E-2</v>
      </c>
      <c r="T125" s="22">
        <v>30</v>
      </c>
      <c r="U125" s="22">
        <v>23</v>
      </c>
      <c r="V125" s="22">
        <v>15</v>
      </c>
      <c r="W125" s="23">
        <v>5</v>
      </c>
      <c r="X125" s="24">
        <v>13.1</v>
      </c>
      <c r="Y125" s="23">
        <v>65.5</v>
      </c>
      <c r="Z125" s="25">
        <v>1999</v>
      </c>
      <c r="AA125" s="46" t="s">
        <v>718</v>
      </c>
      <c r="AB125" s="23" t="s">
        <v>32</v>
      </c>
      <c r="AC125" s="23" t="s">
        <v>32</v>
      </c>
      <c r="AD125" s="23" t="s">
        <v>44</v>
      </c>
      <c r="AE125" s="22" t="s">
        <v>45</v>
      </c>
      <c r="AF125" s="37">
        <v>12.407959999999999</v>
      </c>
      <c r="AG125" s="27">
        <f t="shared" si="0"/>
        <v>2.481592</v>
      </c>
      <c r="AH125" s="27">
        <f t="shared" si="1"/>
        <v>15.581592000000001</v>
      </c>
      <c r="AI125" s="23">
        <f t="shared" si="2"/>
        <v>77.907960000000003</v>
      </c>
      <c r="AJ125" s="33"/>
    </row>
    <row r="126" spans="1:36" ht="14.4">
      <c r="A126" s="22" t="s">
        <v>450</v>
      </c>
      <c r="B126" s="22" t="s">
        <v>451</v>
      </c>
      <c r="C126" s="23" t="s">
        <v>575</v>
      </c>
      <c r="D126" s="23" t="s">
        <v>24</v>
      </c>
      <c r="E126" s="22" t="s">
        <v>428</v>
      </c>
      <c r="F126" s="23" t="s">
        <v>449</v>
      </c>
      <c r="G126" s="23" t="s">
        <v>615</v>
      </c>
      <c r="H126" s="22" t="s">
        <v>449</v>
      </c>
      <c r="I126" s="23" t="s">
        <v>430</v>
      </c>
      <c r="J126" s="23" t="s">
        <v>70</v>
      </c>
      <c r="K126" s="22" t="s">
        <v>28</v>
      </c>
      <c r="L126" s="22" t="s">
        <v>51</v>
      </c>
      <c r="M126" s="22" t="s">
        <v>616</v>
      </c>
      <c r="N126" s="28" t="s">
        <v>30</v>
      </c>
      <c r="O126" s="22">
        <v>0.9</v>
      </c>
      <c r="P126" s="22" t="s">
        <v>431</v>
      </c>
      <c r="Q126" s="22" t="s">
        <v>52</v>
      </c>
      <c r="R126" s="22">
        <v>12</v>
      </c>
      <c r="S126" s="22">
        <v>1.4959999999999999E-2</v>
      </c>
      <c r="T126" s="22">
        <v>30</v>
      </c>
      <c r="U126" s="22">
        <v>23</v>
      </c>
      <c r="V126" s="22">
        <v>15</v>
      </c>
      <c r="W126" s="23">
        <v>5</v>
      </c>
      <c r="X126" s="24">
        <v>13.1</v>
      </c>
      <c r="Y126" s="23">
        <v>65.5</v>
      </c>
      <c r="Z126" s="25">
        <v>1999</v>
      </c>
      <c r="AA126" s="46" t="s">
        <v>719</v>
      </c>
      <c r="AB126" s="23" t="s">
        <v>32</v>
      </c>
      <c r="AC126" s="23" t="s">
        <v>32</v>
      </c>
      <c r="AD126" s="23" t="s">
        <v>44</v>
      </c>
      <c r="AE126" s="22" t="s">
        <v>45</v>
      </c>
      <c r="AF126" s="37">
        <v>12.407959999999999</v>
      </c>
      <c r="AG126" s="27">
        <f t="shared" si="0"/>
        <v>2.481592</v>
      </c>
      <c r="AH126" s="27">
        <f t="shared" si="1"/>
        <v>15.581592000000001</v>
      </c>
      <c r="AI126" s="23">
        <f t="shared" si="2"/>
        <v>77.907960000000003</v>
      </c>
      <c r="AJ126" s="33"/>
    </row>
    <row r="127" spans="1:36" ht="14.4">
      <c r="A127" s="22" t="s">
        <v>452</v>
      </c>
      <c r="B127" s="22" t="s">
        <v>453</v>
      </c>
      <c r="C127" s="23" t="s">
        <v>576</v>
      </c>
      <c r="D127" s="23" t="s">
        <v>24</v>
      </c>
      <c r="E127" s="22" t="s">
        <v>428</v>
      </c>
      <c r="F127" s="23" t="s">
        <v>449</v>
      </c>
      <c r="G127" s="23" t="s">
        <v>615</v>
      </c>
      <c r="H127" s="22" t="s">
        <v>449</v>
      </c>
      <c r="I127" s="23" t="s">
        <v>430</v>
      </c>
      <c r="J127" s="23" t="s">
        <v>434</v>
      </c>
      <c r="K127" s="22" t="s">
        <v>28</v>
      </c>
      <c r="L127" s="22" t="s">
        <v>51</v>
      </c>
      <c r="M127" s="22" t="s">
        <v>616</v>
      </c>
      <c r="N127" s="28" t="s">
        <v>30</v>
      </c>
      <c r="O127" s="22">
        <v>0.9</v>
      </c>
      <c r="P127" s="22" t="s">
        <v>435</v>
      </c>
      <c r="Q127" s="22" t="s">
        <v>52</v>
      </c>
      <c r="R127" s="22">
        <v>12</v>
      </c>
      <c r="S127" s="22">
        <v>1.4959999999999999E-2</v>
      </c>
      <c r="T127" s="22">
        <v>30</v>
      </c>
      <c r="U127" s="22">
        <v>23</v>
      </c>
      <c r="V127" s="22">
        <v>15</v>
      </c>
      <c r="W127" s="23">
        <v>5</v>
      </c>
      <c r="X127" s="24">
        <v>13.1</v>
      </c>
      <c r="Y127" s="23">
        <v>65.5</v>
      </c>
      <c r="Z127" s="25">
        <v>1999</v>
      </c>
      <c r="AA127" s="46" t="s">
        <v>720</v>
      </c>
      <c r="AB127" s="23" t="s">
        <v>32</v>
      </c>
      <c r="AC127" s="23" t="s">
        <v>32</v>
      </c>
      <c r="AD127" s="23" t="s">
        <v>44</v>
      </c>
      <c r="AE127" s="22" t="s">
        <v>45</v>
      </c>
      <c r="AF127" s="37">
        <v>12.407959999999999</v>
      </c>
      <c r="AG127" s="27">
        <f t="shared" si="0"/>
        <v>2.481592</v>
      </c>
      <c r="AH127" s="27">
        <f t="shared" si="1"/>
        <v>15.581592000000001</v>
      </c>
      <c r="AI127" s="23">
        <f t="shared" si="2"/>
        <v>77.907960000000003</v>
      </c>
      <c r="AJ127" s="33"/>
    </row>
    <row r="128" spans="1:36" ht="14.4">
      <c r="A128" s="22" t="s">
        <v>454</v>
      </c>
      <c r="B128" s="22" t="s">
        <v>455</v>
      </c>
      <c r="C128" s="23" t="s">
        <v>577</v>
      </c>
      <c r="D128" s="23" t="s">
        <v>24</v>
      </c>
      <c r="E128" s="22" t="s">
        <v>428</v>
      </c>
      <c r="F128" s="23" t="s">
        <v>449</v>
      </c>
      <c r="G128" s="23" t="s">
        <v>615</v>
      </c>
      <c r="H128" s="22" t="s">
        <v>449</v>
      </c>
      <c r="I128" s="23" t="s">
        <v>430</v>
      </c>
      <c r="J128" s="23" t="s">
        <v>213</v>
      </c>
      <c r="K128" s="22" t="s">
        <v>28</v>
      </c>
      <c r="L128" s="22" t="s">
        <v>51</v>
      </c>
      <c r="M128" s="22" t="s">
        <v>616</v>
      </c>
      <c r="N128" s="28" t="s">
        <v>30</v>
      </c>
      <c r="O128" s="22">
        <v>0.9</v>
      </c>
      <c r="P128" s="22" t="s">
        <v>438</v>
      </c>
      <c r="Q128" s="22" t="s">
        <v>52</v>
      </c>
      <c r="R128" s="22">
        <v>12</v>
      </c>
      <c r="S128" s="22">
        <v>1.4959999999999999E-2</v>
      </c>
      <c r="T128" s="22">
        <v>30</v>
      </c>
      <c r="U128" s="22">
        <v>23</v>
      </c>
      <c r="V128" s="22">
        <v>15</v>
      </c>
      <c r="W128" s="23">
        <v>5</v>
      </c>
      <c r="X128" s="24">
        <v>13.1</v>
      </c>
      <c r="Y128" s="23">
        <v>65.5</v>
      </c>
      <c r="Z128" s="25">
        <v>1999</v>
      </c>
      <c r="AA128" s="46" t="s">
        <v>721</v>
      </c>
      <c r="AB128" s="23" t="s">
        <v>32</v>
      </c>
      <c r="AC128" s="23" t="s">
        <v>32</v>
      </c>
      <c r="AD128" s="23" t="s">
        <v>44</v>
      </c>
      <c r="AE128" s="22" t="s">
        <v>45</v>
      </c>
      <c r="AF128" s="37">
        <v>12.407959999999999</v>
      </c>
      <c r="AG128" s="27">
        <f t="shared" si="0"/>
        <v>2.481592</v>
      </c>
      <c r="AH128" s="27">
        <f t="shared" si="1"/>
        <v>15.581592000000001</v>
      </c>
      <c r="AI128" s="23">
        <f t="shared" si="2"/>
        <v>77.907960000000003</v>
      </c>
      <c r="AJ128" s="33"/>
    </row>
    <row r="129" spans="1:36" ht="14.4">
      <c r="A129" s="22" t="s">
        <v>456</v>
      </c>
      <c r="B129" s="22" t="s">
        <v>457</v>
      </c>
      <c r="C129" s="23" t="s">
        <v>579</v>
      </c>
      <c r="D129" s="23" t="s">
        <v>24</v>
      </c>
      <c r="E129" s="22" t="s">
        <v>428</v>
      </c>
      <c r="F129" s="23" t="s">
        <v>449</v>
      </c>
      <c r="G129" s="23" t="s">
        <v>615</v>
      </c>
      <c r="H129" s="22" t="s">
        <v>449</v>
      </c>
      <c r="I129" s="23" t="s">
        <v>430</v>
      </c>
      <c r="J129" s="23" t="s">
        <v>445</v>
      </c>
      <c r="K129" s="22" t="s">
        <v>28</v>
      </c>
      <c r="L129" s="22" t="s">
        <v>51</v>
      </c>
      <c r="M129" s="22" t="s">
        <v>616</v>
      </c>
      <c r="N129" s="28" t="s">
        <v>30</v>
      </c>
      <c r="O129" s="22">
        <v>0.9</v>
      </c>
      <c r="P129" s="22" t="s">
        <v>446</v>
      </c>
      <c r="Q129" s="22" t="s">
        <v>52</v>
      </c>
      <c r="R129" s="22">
        <v>12</v>
      </c>
      <c r="S129" s="22">
        <v>1.4959999999999999E-2</v>
      </c>
      <c r="T129" s="22">
        <v>30</v>
      </c>
      <c r="U129" s="22">
        <v>23</v>
      </c>
      <c r="V129" s="22">
        <v>15</v>
      </c>
      <c r="W129" s="23">
        <v>5</v>
      </c>
      <c r="X129" s="24">
        <v>13.1</v>
      </c>
      <c r="Y129" s="23">
        <v>65.5</v>
      </c>
      <c r="Z129" s="25">
        <v>1999</v>
      </c>
      <c r="AA129" s="46" t="s">
        <v>722</v>
      </c>
      <c r="AB129" s="23" t="s">
        <v>32</v>
      </c>
      <c r="AC129" s="23" t="s">
        <v>32</v>
      </c>
      <c r="AD129" s="23" t="s">
        <v>44</v>
      </c>
      <c r="AE129" s="22" t="s">
        <v>45</v>
      </c>
      <c r="AF129" s="37">
        <v>12.407959999999999</v>
      </c>
      <c r="AG129" s="27">
        <f t="shared" si="0"/>
        <v>2.481592</v>
      </c>
      <c r="AH129" s="27">
        <f t="shared" si="1"/>
        <v>15.581592000000001</v>
      </c>
      <c r="AI129" s="23">
        <f t="shared" si="2"/>
        <v>77.907960000000003</v>
      </c>
      <c r="AJ129" s="33"/>
    </row>
    <row r="130" spans="1:36" ht="14.4">
      <c r="A130" s="22" t="s">
        <v>458</v>
      </c>
      <c r="B130" s="22" t="s">
        <v>459</v>
      </c>
      <c r="C130" s="23" t="s">
        <v>558</v>
      </c>
      <c r="D130" s="23" t="s">
        <v>24</v>
      </c>
      <c r="E130" s="22" t="s">
        <v>460</v>
      </c>
      <c r="F130" s="23" t="s">
        <v>414</v>
      </c>
      <c r="G130" s="23" t="s">
        <v>615</v>
      </c>
      <c r="H130" s="22" t="s">
        <v>414</v>
      </c>
      <c r="I130" s="23" t="s">
        <v>26</v>
      </c>
      <c r="J130" s="23" t="s">
        <v>42</v>
      </c>
      <c r="K130" s="22" t="s">
        <v>28</v>
      </c>
      <c r="L130" s="22" t="s">
        <v>51</v>
      </c>
      <c r="M130" s="22" t="s">
        <v>627</v>
      </c>
      <c r="N130" s="28" t="s">
        <v>84</v>
      </c>
      <c r="O130" s="22">
        <v>0.11</v>
      </c>
      <c r="P130" s="22" t="s">
        <v>103</v>
      </c>
      <c r="Q130" s="22" t="s">
        <v>31</v>
      </c>
      <c r="R130" s="22">
        <v>100</v>
      </c>
      <c r="S130" s="22">
        <v>8.5999999999999998E-4</v>
      </c>
      <c r="T130" s="22">
        <v>30</v>
      </c>
      <c r="U130" s="22">
        <v>20</v>
      </c>
      <c r="V130" s="22">
        <v>3</v>
      </c>
      <c r="W130" s="23">
        <v>4</v>
      </c>
      <c r="X130" s="24">
        <v>6</v>
      </c>
      <c r="Y130" s="23">
        <v>24</v>
      </c>
      <c r="Z130" s="25">
        <v>799</v>
      </c>
      <c r="AA130" s="46" t="s">
        <v>784</v>
      </c>
      <c r="AB130" s="29">
        <v>69</v>
      </c>
      <c r="AC130" s="48" t="s">
        <v>785</v>
      </c>
      <c r="AD130" s="23" t="s">
        <v>44</v>
      </c>
      <c r="AE130" s="22" t="s">
        <v>45</v>
      </c>
      <c r="AF130" s="37">
        <v>4.54643</v>
      </c>
      <c r="AG130" s="27">
        <f t="shared" si="0"/>
        <v>1.1366075</v>
      </c>
      <c r="AH130" s="27">
        <f t="shared" si="1"/>
        <v>7.1366075000000002</v>
      </c>
      <c r="AI130" s="23">
        <f t="shared" si="2"/>
        <v>28.546430000000001</v>
      </c>
      <c r="AJ130" s="33"/>
    </row>
    <row r="131" spans="1:36" ht="14.4">
      <c r="A131" s="22" t="s">
        <v>461</v>
      </c>
      <c r="B131" s="22" t="s">
        <v>462</v>
      </c>
      <c r="C131" s="23" t="s">
        <v>558</v>
      </c>
      <c r="D131" s="23" t="s">
        <v>24</v>
      </c>
      <c r="E131" s="22" t="s">
        <v>460</v>
      </c>
      <c r="F131" s="23" t="s">
        <v>463</v>
      </c>
      <c r="G131" s="23" t="s">
        <v>615</v>
      </c>
      <c r="H131" s="22" t="s">
        <v>463</v>
      </c>
      <c r="I131" s="23" t="s">
        <v>26</v>
      </c>
      <c r="J131" s="23" t="s">
        <v>42</v>
      </c>
      <c r="K131" s="22" t="s">
        <v>28</v>
      </c>
      <c r="L131" s="22" t="s">
        <v>51</v>
      </c>
      <c r="M131" s="22" t="s">
        <v>627</v>
      </c>
      <c r="N131" s="28" t="s">
        <v>84</v>
      </c>
      <c r="O131" s="22">
        <v>9.4E-2</v>
      </c>
      <c r="P131" s="22" t="s">
        <v>103</v>
      </c>
      <c r="Q131" s="22" t="s">
        <v>31</v>
      </c>
      <c r="R131" s="22">
        <v>100</v>
      </c>
      <c r="S131" s="22">
        <v>8.5999999999999998E-4</v>
      </c>
      <c r="T131" s="22">
        <v>30</v>
      </c>
      <c r="U131" s="22">
        <v>20</v>
      </c>
      <c r="V131" s="22">
        <v>3</v>
      </c>
      <c r="W131" s="23">
        <v>5</v>
      </c>
      <c r="X131" s="24">
        <v>2.2000000000000002</v>
      </c>
      <c r="Y131" s="23">
        <v>11</v>
      </c>
      <c r="Z131" s="25">
        <v>0</v>
      </c>
      <c r="AA131" s="22" t="s">
        <v>644</v>
      </c>
      <c r="AB131" s="23" t="s">
        <v>32</v>
      </c>
      <c r="AC131" s="23" t="s">
        <v>32</v>
      </c>
      <c r="AD131" s="23" t="s">
        <v>44</v>
      </c>
      <c r="AE131" s="22" t="s">
        <v>45</v>
      </c>
      <c r="AF131" s="37">
        <v>2.08378</v>
      </c>
      <c r="AG131" s="27">
        <f t="shared" si="0"/>
        <v>0.41675600000000002</v>
      </c>
      <c r="AH131" s="27">
        <f t="shared" si="1"/>
        <v>2.6167560000000001</v>
      </c>
      <c r="AI131" s="23">
        <f t="shared" si="2"/>
        <v>13.083780000000001</v>
      </c>
      <c r="AJ131" s="33"/>
    </row>
    <row r="132" spans="1:36" ht="14.4">
      <c r="A132" s="22" t="s">
        <v>464</v>
      </c>
      <c r="B132" s="22" t="s">
        <v>465</v>
      </c>
      <c r="C132" s="23" t="s">
        <v>558</v>
      </c>
      <c r="D132" s="23" t="s">
        <v>24</v>
      </c>
      <c r="E132" s="22" t="s">
        <v>460</v>
      </c>
      <c r="F132" s="23" t="s">
        <v>233</v>
      </c>
      <c r="G132" s="23" t="s">
        <v>615</v>
      </c>
      <c r="H132" s="22" t="s">
        <v>233</v>
      </c>
      <c r="I132" s="23" t="s">
        <v>26</v>
      </c>
      <c r="J132" s="23" t="s">
        <v>42</v>
      </c>
      <c r="K132" s="22" t="s">
        <v>28</v>
      </c>
      <c r="L132" s="22" t="s">
        <v>51</v>
      </c>
      <c r="M132" s="22" t="s">
        <v>627</v>
      </c>
      <c r="N132" s="28" t="s">
        <v>84</v>
      </c>
      <c r="O132" s="22">
        <v>0.06</v>
      </c>
      <c r="P132" s="22" t="s">
        <v>103</v>
      </c>
      <c r="Q132" s="22" t="s">
        <v>31</v>
      </c>
      <c r="R132" s="22">
        <v>100</v>
      </c>
      <c r="S132" s="22">
        <v>8.5999999999999998E-4</v>
      </c>
      <c r="T132" s="22">
        <v>30</v>
      </c>
      <c r="U132" s="22">
        <v>20</v>
      </c>
      <c r="V132" s="22">
        <v>1</v>
      </c>
      <c r="W132" s="23">
        <v>5</v>
      </c>
      <c r="X132" s="24">
        <v>1.7</v>
      </c>
      <c r="Y132" s="23">
        <v>8.5</v>
      </c>
      <c r="Z132" s="25">
        <v>249</v>
      </c>
      <c r="AA132" s="46" t="s">
        <v>786</v>
      </c>
      <c r="AB132" s="23" t="s">
        <v>32</v>
      </c>
      <c r="AC132" s="23" t="s">
        <v>32</v>
      </c>
      <c r="AD132" s="26">
        <v>8.99</v>
      </c>
      <c r="AE132" s="45" t="s">
        <v>724</v>
      </c>
      <c r="AF132" s="37">
        <v>1.61019</v>
      </c>
      <c r="AG132" s="27">
        <f t="shared" si="0"/>
        <v>0.32203799999999999</v>
      </c>
      <c r="AH132" s="27">
        <f t="shared" si="1"/>
        <v>2.0220379999999998</v>
      </c>
      <c r="AI132" s="23">
        <f t="shared" si="2"/>
        <v>10.110189999999999</v>
      </c>
      <c r="AJ132" s="33"/>
    </row>
    <row r="133" spans="1:36" ht="14.4">
      <c r="A133" s="22" t="s">
        <v>466</v>
      </c>
      <c r="B133" s="22" t="s">
        <v>467</v>
      </c>
      <c r="C133" s="23" t="s">
        <v>556</v>
      </c>
      <c r="D133" s="23" t="s">
        <v>24</v>
      </c>
      <c r="E133" s="22" t="s">
        <v>460</v>
      </c>
      <c r="F133" s="23" t="s">
        <v>233</v>
      </c>
      <c r="G133" s="23" t="s">
        <v>615</v>
      </c>
      <c r="H133" s="22" t="s">
        <v>233</v>
      </c>
      <c r="I133" s="23" t="s">
        <v>26</v>
      </c>
      <c r="J133" s="23" t="s">
        <v>27</v>
      </c>
      <c r="K133" s="22" t="s">
        <v>28</v>
      </c>
      <c r="L133" s="22" t="s">
        <v>51</v>
      </c>
      <c r="M133" s="22" t="s">
        <v>627</v>
      </c>
      <c r="N133" s="28" t="s">
        <v>84</v>
      </c>
      <c r="O133" s="22">
        <v>5.5E-2</v>
      </c>
      <c r="P133" s="22" t="s">
        <v>468</v>
      </c>
      <c r="Q133" s="22" t="s">
        <v>31</v>
      </c>
      <c r="R133" s="22">
        <v>100</v>
      </c>
      <c r="S133" s="22">
        <v>8.5999999999999998E-4</v>
      </c>
      <c r="T133" s="22">
        <v>30</v>
      </c>
      <c r="U133" s="22">
        <v>20</v>
      </c>
      <c r="V133" s="22">
        <v>1</v>
      </c>
      <c r="W133" s="23">
        <v>5</v>
      </c>
      <c r="X133" s="24">
        <v>1.6</v>
      </c>
      <c r="Y133" s="23">
        <v>8</v>
      </c>
      <c r="Z133" s="25">
        <v>229</v>
      </c>
      <c r="AA133" s="46" t="s">
        <v>723</v>
      </c>
      <c r="AB133" s="23" t="s">
        <v>32</v>
      </c>
      <c r="AC133" s="23" t="s">
        <v>32</v>
      </c>
      <c r="AD133" s="26">
        <v>8.99</v>
      </c>
      <c r="AE133" s="45" t="s">
        <v>724</v>
      </c>
      <c r="AF133" s="37">
        <v>1.5154799999999999</v>
      </c>
      <c r="AG133" s="27">
        <f t="shared" si="0"/>
        <v>0.30309599999999998</v>
      </c>
      <c r="AH133" s="27">
        <f t="shared" si="1"/>
        <v>1.9030960000000001</v>
      </c>
      <c r="AI133" s="23">
        <f t="shared" si="2"/>
        <v>9.5154800000000002</v>
      </c>
      <c r="AJ133" s="33"/>
    </row>
    <row r="134" spans="1:36" ht="14.4">
      <c r="A134" s="22" t="s">
        <v>469</v>
      </c>
      <c r="B134" s="22" t="s">
        <v>470</v>
      </c>
      <c r="C134" s="23" t="s">
        <v>557</v>
      </c>
      <c r="D134" s="23" t="s">
        <v>24</v>
      </c>
      <c r="E134" s="22" t="s">
        <v>460</v>
      </c>
      <c r="F134" s="23" t="s">
        <v>233</v>
      </c>
      <c r="G134" s="23" t="s">
        <v>615</v>
      </c>
      <c r="H134" s="22" t="s">
        <v>233</v>
      </c>
      <c r="I134" s="23" t="s">
        <v>26</v>
      </c>
      <c r="J134" s="23" t="s">
        <v>36</v>
      </c>
      <c r="K134" s="22" t="s">
        <v>28</v>
      </c>
      <c r="L134" s="22" t="s">
        <v>51</v>
      </c>
      <c r="M134" s="22" t="s">
        <v>627</v>
      </c>
      <c r="N134" s="28" t="s">
        <v>84</v>
      </c>
      <c r="O134" s="22">
        <v>0.05</v>
      </c>
      <c r="P134" s="22" t="s">
        <v>117</v>
      </c>
      <c r="Q134" s="22" t="s">
        <v>31</v>
      </c>
      <c r="R134" s="22">
        <v>100</v>
      </c>
      <c r="S134" s="22">
        <v>8.5999999999999998E-4</v>
      </c>
      <c r="T134" s="22">
        <v>30</v>
      </c>
      <c r="U134" s="22">
        <v>20</v>
      </c>
      <c r="V134" s="22">
        <v>1</v>
      </c>
      <c r="W134" s="23">
        <v>5</v>
      </c>
      <c r="X134" s="24">
        <v>1.6</v>
      </c>
      <c r="Y134" s="23">
        <v>8</v>
      </c>
      <c r="Z134" s="25">
        <v>229</v>
      </c>
      <c r="AA134" s="46" t="s">
        <v>725</v>
      </c>
      <c r="AB134" s="23" t="s">
        <v>32</v>
      </c>
      <c r="AC134" s="23" t="s">
        <v>32</v>
      </c>
      <c r="AD134" s="26">
        <v>8.99</v>
      </c>
      <c r="AE134" s="45" t="s">
        <v>724</v>
      </c>
      <c r="AF134" s="37">
        <v>1.5154799999999999</v>
      </c>
      <c r="AG134" s="27">
        <f t="shared" si="0"/>
        <v>0.30309599999999998</v>
      </c>
      <c r="AH134" s="27">
        <f t="shared" si="1"/>
        <v>1.9030960000000001</v>
      </c>
      <c r="AI134" s="23">
        <f t="shared" si="2"/>
        <v>9.5154800000000002</v>
      </c>
      <c r="AJ134" s="33"/>
    </row>
    <row r="135" spans="1:36" ht="14.4">
      <c r="A135" s="22" t="s">
        <v>471</v>
      </c>
      <c r="B135" s="22" t="s">
        <v>472</v>
      </c>
      <c r="C135" s="23" t="s">
        <v>556</v>
      </c>
      <c r="D135" s="23" t="s">
        <v>24</v>
      </c>
      <c r="E135" s="22" t="s">
        <v>460</v>
      </c>
      <c r="F135" s="23" t="s">
        <v>463</v>
      </c>
      <c r="G135" s="23" t="s">
        <v>615</v>
      </c>
      <c r="H135" s="22" t="s">
        <v>463</v>
      </c>
      <c r="I135" s="23" t="s">
        <v>26</v>
      </c>
      <c r="J135" s="23" t="s">
        <v>27</v>
      </c>
      <c r="K135" s="22" t="s">
        <v>28</v>
      </c>
      <c r="L135" s="22" t="s">
        <v>51</v>
      </c>
      <c r="M135" s="22" t="s">
        <v>627</v>
      </c>
      <c r="N135" s="28" t="s">
        <v>84</v>
      </c>
      <c r="O135" s="22">
        <v>0.09</v>
      </c>
      <c r="P135" s="22" t="s">
        <v>468</v>
      </c>
      <c r="Q135" s="22" t="s">
        <v>31</v>
      </c>
      <c r="R135" s="22">
        <v>100</v>
      </c>
      <c r="S135" s="22">
        <v>8.5999999999999998E-4</v>
      </c>
      <c r="T135" s="22">
        <v>30</v>
      </c>
      <c r="U135" s="22">
        <v>20</v>
      </c>
      <c r="V135" s="22">
        <v>3</v>
      </c>
      <c r="W135" s="23">
        <v>2</v>
      </c>
      <c r="X135" s="24">
        <v>2.2000000000000002</v>
      </c>
      <c r="Y135" s="23">
        <v>4.4000000000000004</v>
      </c>
      <c r="Z135" s="25">
        <v>299</v>
      </c>
      <c r="AA135" s="46" t="s">
        <v>787</v>
      </c>
      <c r="AB135" s="23" t="s">
        <v>32</v>
      </c>
      <c r="AC135" s="23" t="s">
        <v>32</v>
      </c>
      <c r="AD135" s="23" t="s">
        <v>44</v>
      </c>
      <c r="AE135" s="22" t="s">
        <v>45</v>
      </c>
      <c r="AF135" s="37">
        <v>0.83350999999999997</v>
      </c>
      <c r="AG135" s="27">
        <f t="shared" si="0"/>
        <v>0.41675499999999999</v>
      </c>
      <c r="AH135" s="27">
        <f t="shared" si="1"/>
        <v>2.6167550000000004</v>
      </c>
      <c r="AI135" s="23">
        <f t="shared" si="2"/>
        <v>5.2335100000000008</v>
      </c>
      <c r="AJ135" s="33"/>
    </row>
    <row r="136" spans="1:36" ht="14.4">
      <c r="A136" s="22" t="s">
        <v>473</v>
      </c>
      <c r="B136" s="22" t="s">
        <v>474</v>
      </c>
      <c r="C136" s="23" t="s">
        <v>566</v>
      </c>
      <c r="D136" s="23" t="s">
        <v>24</v>
      </c>
      <c r="E136" s="22" t="s">
        <v>460</v>
      </c>
      <c r="F136" s="23" t="s">
        <v>233</v>
      </c>
      <c r="G136" s="23" t="s">
        <v>615</v>
      </c>
      <c r="H136" s="22" t="s">
        <v>233</v>
      </c>
      <c r="I136" s="23" t="s">
        <v>26</v>
      </c>
      <c r="J136" s="23" t="s">
        <v>127</v>
      </c>
      <c r="K136" s="22" t="s">
        <v>28</v>
      </c>
      <c r="L136" s="22" t="s">
        <v>51</v>
      </c>
      <c r="M136" s="22" t="s">
        <v>627</v>
      </c>
      <c r="N136" s="28" t="s">
        <v>84</v>
      </c>
      <c r="O136" s="22">
        <v>4.5999999999999999E-2</v>
      </c>
      <c r="P136" s="22" t="s">
        <v>128</v>
      </c>
      <c r="Q136" s="22" t="s">
        <v>31</v>
      </c>
      <c r="R136" s="22">
        <v>100</v>
      </c>
      <c r="S136" s="22">
        <v>8.5999999999999998E-4</v>
      </c>
      <c r="T136" s="22">
        <v>30</v>
      </c>
      <c r="U136" s="22">
        <v>20</v>
      </c>
      <c r="V136" s="22">
        <v>1</v>
      </c>
      <c r="W136" s="23">
        <v>5</v>
      </c>
      <c r="X136" s="24">
        <v>1.6</v>
      </c>
      <c r="Y136" s="23">
        <v>8</v>
      </c>
      <c r="Z136" s="25">
        <v>229</v>
      </c>
      <c r="AA136" s="46" t="s">
        <v>726</v>
      </c>
      <c r="AB136" s="23" t="s">
        <v>32</v>
      </c>
      <c r="AC136" s="23" t="s">
        <v>32</v>
      </c>
      <c r="AD136" s="23" t="s">
        <v>44</v>
      </c>
      <c r="AE136" s="22" t="s">
        <v>45</v>
      </c>
      <c r="AF136" s="37">
        <v>1.5154799999999999</v>
      </c>
      <c r="AG136" s="27">
        <f t="shared" si="0"/>
        <v>0.30309599999999998</v>
      </c>
      <c r="AH136" s="27">
        <f t="shared" si="1"/>
        <v>1.9030960000000001</v>
      </c>
      <c r="AI136" s="23">
        <f t="shared" si="2"/>
        <v>9.5154800000000002</v>
      </c>
      <c r="AJ136" s="33"/>
    </row>
    <row r="137" spans="1:36" ht="14.4">
      <c r="A137" s="22" t="s">
        <v>475</v>
      </c>
      <c r="B137" s="22" t="s">
        <v>476</v>
      </c>
      <c r="C137" s="23" t="s">
        <v>560</v>
      </c>
      <c r="D137" s="23" t="s">
        <v>24</v>
      </c>
      <c r="E137" s="22" t="s">
        <v>477</v>
      </c>
      <c r="F137" s="23" t="s">
        <v>478</v>
      </c>
      <c r="G137" s="23" t="s">
        <v>615</v>
      </c>
      <c r="H137" s="22" t="s">
        <v>478</v>
      </c>
      <c r="I137" s="23" t="s">
        <v>26</v>
      </c>
      <c r="J137" s="23" t="s">
        <v>42</v>
      </c>
      <c r="K137" s="22" t="s">
        <v>84</v>
      </c>
      <c r="L137" s="22" t="s">
        <v>51</v>
      </c>
      <c r="M137" s="22" t="s">
        <v>616</v>
      </c>
      <c r="N137" s="28" t="s">
        <v>30</v>
      </c>
      <c r="O137" s="22">
        <v>0.12</v>
      </c>
      <c r="P137" s="22" t="s">
        <v>479</v>
      </c>
      <c r="Q137" s="22" t="s">
        <v>52</v>
      </c>
      <c r="R137" s="22">
        <v>0</v>
      </c>
      <c r="S137" s="22">
        <v>0</v>
      </c>
      <c r="T137" s="22">
        <v>40</v>
      </c>
      <c r="U137" s="22">
        <v>30</v>
      </c>
      <c r="V137" s="22">
        <v>5</v>
      </c>
      <c r="W137" s="23">
        <v>5</v>
      </c>
      <c r="X137" s="24">
        <v>6.2</v>
      </c>
      <c r="Y137" s="23">
        <v>31</v>
      </c>
      <c r="Z137" s="25">
        <v>699</v>
      </c>
      <c r="AA137" s="46" t="s">
        <v>727</v>
      </c>
      <c r="AB137" s="26">
        <v>49.99</v>
      </c>
      <c r="AC137" s="48" t="s">
        <v>788</v>
      </c>
      <c r="AD137" s="29">
        <v>49</v>
      </c>
      <c r="AE137" s="45" t="s">
        <v>789</v>
      </c>
      <c r="AF137" s="37">
        <v>5.8724699999999999</v>
      </c>
      <c r="AG137" s="27">
        <f t="shared" si="0"/>
        <v>1.1744939999999999</v>
      </c>
      <c r="AH137" s="27">
        <f t="shared" si="1"/>
        <v>7.3744940000000003</v>
      </c>
      <c r="AI137" s="23">
        <f t="shared" si="2"/>
        <v>36.87247</v>
      </c>
      <c r="AJ137" s="33"/>
    </row>
    <row r="138" spans="1:36" ht="14.4">
      <c r="A138" s="22" t="s">
        <v>480</v>
      </c>
      <c r="B138" s="22" t="s">
        <v>481</v>
      </c>
      <c r="C138" s="23" t="s">
        <v>560</v>
      </c>
      <c r="D138" s="23" t="s">
        <v>24</v>
      </c>
      <c r="E138" s="22" t="s">
        <v>477</v>
      </c>
      <c r="F138" s="23" t="s">
        <v>422</v>
      </c>
      <c r="G138" s="23" t="s">
        <v>615</v>
      </c>
      <c r="H138" s="22" t="s">
        <v>422</v>
      </c>
      <c r="I138" s="23" t="s">
        <v>26</v>
      </c>
      <c r="J138" s="23" t="s">
        <v>42</v>
      </c>
      <c r="K138" s="22" t="s">
        <v>84</v>
      </c>
      <c r="L138" s="22" t="s">
        <v>51</v>
      </c>
      <c r="M138" s="22" t="s">
        <v>616</v>
      </c>
      <c r="N138" s="28" t="s">
        <v>30</v>
      </c>
      <c r="O138" s="22">
        <v>0.16</v>
      </c>
      <c r="P138" s="22" t="s">
        <v>479</v>
      </c>
      <c r="Q138" s="22" t="s">
        <v>52</v>
      </c>
      <c r="R138" s="22">
        <v>0</v>
      </c>
      <c r="S138" s="22">
        <v>0</v>
      </c>
      <c r="T138" s="22">
        <v>40</v>
      </c>
      <c r="U138" s="22">
        <v>30</v>
      </c>
      <c r="V138" s="22">
        <v>5</v>
      </c>
      <c r="W138" s="23">
        <v>5</v>
      </c>
      <c r="X138" s="24">
        <v>4</v>
      </c>
      <c r="Y138" s="23">
        <v>20</v>
      </c>
      <c r="Z138" s="25">
        <v>599</v>
      </c>
      <c r="AA138" s="46" t="s">
        <v>728</v>
      </c>
      <c r="AB138" s="23" t="s">
        <v>32</v>
      </c>
      <c r="AC138" s="23" t="s">
        <v>32</v>
      </c>
      <c r="AD138" s="23" t="s">
        <v>44</v>
      </c>
      <c r="AE138" s="22" t="s">
        <v>45</v>
      </c>
      <c r="AF138" s="37">
        <v>3.7886899999999999</v>
      </c>
      <c r="AG138" s="27">
        <f t="shared" si="0"/>
        <v>0.75773800000000002</v>
      </c>
      <c r="AH138" s="27">
        <f t="shared" si="1"/>
        <v>4.7577379999999998</v>
      </c>
      <c r="AI138" s="23">
        <f t="shared" si="2"/>
        <v>23.788689999999999</v>
      </c>
      <c r="AJ138" s="33"/>
    </row>
    <row r="139" spans="1:36" ht="14.4">
      <c r="A139" s="22" t="s">
        <v>482</v>
      </c>
      <c r="B139" s="22" t="s">
        <v>483</v>
      </c>
      <c r="C139" s="23" t="s">
        <v>556</v>
      </c>
      <c r="D139" s="23" t="s">
        <v>24</v>
      </c>
      <c r="E139" s="22" t="s">
        <v>484</v>
      </c>
      <c r="F139" s="23" t="s">
        <v>414</v>
      </c>
      <c r="G139" s="23" t="s">
        <v>615</v>
      </c>
      <c r="H139" s="22" t="s">
        <v>414</v>
      </c>
      <c r="I139" s="23" t="s">
        <v>26</v>
      </c>
      <c r="J139" s="23" t="s">
        <v>27</v>
      </c>
      <c r="K139" s="22" t="s">
        <v>28</v>
      </c>
      <c r="L139" s="22" t="s">
        <v>51</v>
      </c>
      <c r="M139" s="22" t="s">
        <v>616</v>
      </c>
      <c r="N139" s="28" t="s">
        <v>30</v>
      </c>
      <c r="O139" s="22">
        <v>0.45</v>
      </c>
      <c r="P139" s="22" t="s">
        <v>485</v>
      </c>
      <c r="Q139" s="22" t="s">
        <v>52</v>
      </c>
      <c r="R139" s="22">
        <v>50</v>
      </c>
      <c r="S139" s="22">
        <v>3.5899999999999999E-3</v>
      </c>
      <c r="T139" s="22">
        <v>69</v>
      </c>
      <c r="U139" s="22">
        <v>51</v>
      </c>
      <c r="V139" s="22">
        <v>51</v>
      </c>
      <c r="W139" s="23">
        <v>20</v>
      </c>
      <c r="X139" s="24">
        <v>4.0999999999999996</v>
      </c>
      <c r="Y139" s="23">
        <v>82</v>
      </c>
      <c r="Z139" s="25">
        <v>599</v>
      </c>
      <c r="AA139" s="45" t="s">
        <v>729</v>
      </c>
      <c r="AB139" s="23" t="s">
        <v>32</v>
      </c>
      <c r="AC139" s="23" t="s">
        <v>32</v>
      </c>
      <c r="AD139" s="23" t="s">
        <v>44</v>
      </c>
      <c r="AE139" s="22" t="s">
        <v>45</v>
      </c>
      <c r="AF139" s="37">
        <v>15.53363</v>
      </c>
      <c r="AG139" s="27">
        <f t="shared" si="0"/>
        <v>0.77668150000000002</v>
      </c>
      <c r="AH139" s="27">
        <f t="shared" si="1"/>
        <v>4.8766815000000001</v>
      </c>
      <c r="AI139" s="23">
        <f t="shared" si="2"/>
        <v>97.533630000000002</v>
      </c>
      <c r="AJ139" s="33"/>
    </row>
    <row r="140" spans="1:36" ht="14.4">
      <c r="A140" s="22" t="s">
        <v>486</v>
      </c>
      <c r="B140" s="22" t="s">
        <v>487</v>
      </c>
      <c r="C140" s="23" t="s">
        <v>557</v>
      </c>
      <c r="D140" s="23" t="s">
        <v>24</v>
      </c>
      <c r="E140" s="22" t="s">
        <v>484</v>
      </c>
      <c r="F140" s="23" t="s">
        <v>414</v>
      </c>
      <c r="G140" s="23" t="s">
        <v>615</v>
      </c>
      <c r="H140" s="22" t="s">
        <v>414</v>
      </c>
      <c r="I140" s="23" t="s">
        <v>26</v>
      </c>
      <c r="J140" s="23" t="s">
        <v>36</v>
      </c>
      <c r="K140" s="22" t="s">
        <v>28</v>
      </c>
      <c r="L140" s="22" t="s">
        <v>51</v>
      </c>
      <c r="M140" s="22" t="s">
        <v>616</v>
      </c>
      <c r="N140" s="28" t="s">
        <v>30</v>
      </c>
      <c r="O140" s="22">
        <v>0.14899999999999999</v>
      </c>
      <c r="P140" s="22" t="s">
        <v>488</v>
      </c>
      <c r="Q140" s="22" t="s">
        <v>52</v>
      </c>
      <c r="R140" s="22">
        <v>50</v>
      </c>
      <c r="S140" s="22">
        <v>3.5899999999999999E-3</v>
      </c>
      <c r="T140" s="22">
        <v>69</v>
      </c>
      <c r="U140" s="22">
        <v>51</v>
      </c>
      <c r="V140" s="22">
        <v>51</v>
      </c>
      <c r="W140" s="23">
        <v>20</v>
      </c>
      <c r="X140" s="24">
        <v>4.0999999999999996</v>
      </c>
      <c r="Y140" s="23">
        <v>82</v>
      </c>
      <c r="Z140" s="25">
        <v>599</v>
      </c>
      <c r="AA140" s="45" t="s">
        <v>730</v>
      </c>
      <c r="AB140" s="23" t="s">
        <v>32</v>
      </c>
      <c r="AC140" s="23" t="s">
        <v>32</v>
      </c>
      <c r="AD140" s="23" t="s">
        <v>44</v>
      </c>
      <c r="AE140" s="22" t="s">
        <v>45</v>
      </c>
      <c r="AF140" s="37">
        <v>15.53363</v>
      </c>
      <c r="AG140" s="27">
        <f t="shared" si="0"/>
        <v>0.77668150000000002</v>
      </c>
      <c r="AH140" s="27">
        <f t="shared" si="1"/>
        <v>4.8766815000000001</v>
      </c>
      <c r="AI140" s="23">
        <f t="shared" si="2"/>
        <v>97.533630000000002</v>
      </c>
      <c r="AJ140" s="33"/>
    </row>
    <row r="141" spans="1:36" ht="14.4">
      <c r="A141" s="22" t="s">
        <v>489</v>
      </c>
      <c r="B141" s="22" t="s">
        <v>490</v>
      </c>
      <c r="C141" s="23" t="s">
        <v>560</v>
      </c>
      <c r="D141" s="23" t="s">
        <v>24</v>
      </c>
      <c r="E141" s="22" t="s">
        <v>484</v>
      </c>
      <c r="F141" s="23" t="s">
        <v>422</v>
      </c>
      <c r="G141" s="23" t="s">
        <v>615</v>
      </c>
      <c r="H141" s="22" t="s">
        <v>422</v>
      </c>
      <c r="I141" s="23" t="s">
        <v>26</v>
      </c>
      <c r="J141" s="23" t="s">
        <v>42</v>
      </c>
      <c r="K141" s="22" t="s">
        <v>84</v>
      </c>
      <c r="L141" s="22" t="s">
        <v>51</v>
      </c>
      <c r="M141" s="22" t="s">
        <v>616</v>
      </c>
      <c r="N141" s="28" t="s">
        <v>30</v>
      </c>
      <c r="O141" s="22">
        <v>0.189</v>
      </c>
      <c r="P141" s="22" t="s">
        <v>479</v>
      </c>
      <c r="Q141" s="22" t="s">
        <v>52</v>
      </c>
      <c r="R141" s="22">
        <v>40</v>
      </c>
      <c r="S141" s="22">
        <v>4.4900000000000001E-3</v>
      </c>
      <c r="T141" s="22">
        <v>69</v>
      </c>
      <c r="U141" s="22">
        <v>51</v>
      </c>
      <c r="V141" s="22">
        <v>51</v>
      </c>
      <c r="W141" s="23">
        <v>5</v>
      </c>
      <c r="X141" s="24">
        <v>7.6</v>
      </c>
      <c r="Y141" s="23">
        <v>38</v>
      </c>
      <c r="Z141" s="25">
        <v>1099</v>
      </c>
      <c r="AA141" s="45" t="s">
        <v>731</v>
      </c>
      <c r="AB141" s="23" t="s">
        <v>32</v>
      </c>
      <c r="AC141" s="23" t="s">
        <v>32</v>
      </c>
      <c r="AD141" s="23" t="s">
        <v>44</v>
      </c>
      <c r="AE141" s="22" t="s">
        <v>45</v>
      </c>
      <c r="AF141" s="37">
        <v>7.1985099999999997</v>
      </c>
      <c r="AG141" s="27">
        <f t="shared" si="0"/>
        <v>1.439702</v>
      </c>
      <c r="AH141" s="27">
        <f t="shared" si="1"/>
        <v>9.0397020000000001</v>
      </c>
      <c r="AI141" s="23">
        <f t="shared" si="2"/>
        <v>45.198509999999999</v>
      </c>
      <c r="AJ141" s="33"/>
    </row>
    <row r="142" spans="1:36" ht="14.4">
      <c r="A142" s="22" t="s">
        <v>491</v>
      </c>
      <c r="B142" s="22" t="s">
        <v>492</v>
      </c>
      <c r="C142" s="23" t="s">
        <v>560</v>
      </c>
      <c r="D142" s="23" t="s">
        <v>24</v>
      </c>
      <c r="E142" s="22" t="s">
        <v>484</v>
      </c>
      <c r="F142" s="23" t="s">
        <v>40</v>
      </c>
      <c r="G142" s="23" t="s">
        <v>615</v>
      </c>
      <c r="H142" s="22" t="s">
        <v>40</v>
      </c>
      <c r="I142" s="23" t="s">
        <v>26</v>
      </c>
      <c r="J142" s="23" t="s">
        <v>42</v>
      </c>
      <c r="K142" s="22" t="s">
        <v>84</v>
      </c>
      <c r="L142" s="22" t="s">
        <v>51</v>
      </c>
      <c r="M142" s="22" t="s">
        <v>616</v>
      </c>
      <c r="N142" s="28" t="s">
        <v>30</v>
      </c>
      <c r="O142" s="22">
        <v>0.189</v>
      </c>
      <c r="P142" s="22" t="s">
        <v>479</v>
      </c>
      <c r="Q142" s="22" t="s">
        <v>52</v>
      </c>
      <c r="R142" s="22">
        <v>40</v>
      </c>
      <c r="S142" s="22">
        <v>4.4900000000000001E-3</v>
      </c>
      <c r="T142" s="22">
        <v>69</v>
      </c>
      <c r="U142" s="22">
        <v>51</v>
      </c>
      <c r="V142" s="22">
        <v>51</v>
      </c>
      <c r="W142" s="23">
        <v>10</v>
      </c>
      <c r="X142" s="24">
        <v>5.8</v>
      </c>
      <c r="Y142" s="23">
        <v>58</v>
      </c>
      <c r="Z142" s="25">
        <v>799</v>
      </c>
      <c r="AA142" s="45" t="s">
        <v>732</v>
      </c>
      <c r="AB142" s="23" t="s">
        <v>32</v>
      </c>
      <c r="AC142" s="23" t="s">
        <v>32</v>
      </c>
      <c r="AD142" s="23" t="s">
        <v>44</v>
      </c>
      <c r="AE142" s="22" t="s">
        <v>45</v>
      </c>
      <c r="AF142" s="37">
        <v>10.9872</v>
      </c>
      <c r="AG142" s="27">
        <f t="shared" si="0"/>
        <v>1.0987199999999999</v>
      </c>
      <c r="AH142" s="27">
        <f t="shared" si="1"/>
        <v>6.89872</v>
      </c>
      <c r="AI142" s="23">
        <f t="shared" si="2"/>
        <v>68.987200000000001</v>
      </c>
      <c r="AJ142" s="33"/>
    </row>
    <row r="143" spans="1:36" ht="14.4">
      <c r="A143" s="22" t="s">
        <v>493</v>
      </c>
      <c r="B143" s="22" t="s">
        <v>494</v>
      </c>
      <c r="C143" s="23" t="s">
        <v>560</v>
      </c>
      <c r="D143" s="23" t="s">
        <v>24</v>
      </c>
      <c r="E143" s="22" t="s">
        <v>484</v>
      </c>
      <c r="F143" s="23" t="s">
        <v>495</v>
      </c>
      <c r="G143" s="23" t="s">
        <v>615</v>
      </c>
      <c r="H143" s="22" t="s">
        <v>495</v>
      </c>
      <c r="I143" s="23" t="s">
        <v>26</v>
      </c>
      <c r="J143" s="23" t="s">
        <v>42</v>
      </c>
      <c r="K143" s="22" t="s">
        <v>84</v>
      </c>
      <c r="L143" s="22" t="s">
        <v>51</v>
      </c>
      <c r="M143" s="22" t="s">
        <v>616</v>
      </c>
      <c r="N143" s="28" t="s">
        <v>30</v>
      </c>
      <c r="O143" s="22">
        <v>0.312</v>
      </c>
      <c r="P143" s="22" t="s">
        <v>479</v>
      </c>
      <c r="Q143" s="22" t="s">
        <v>52</v>
      </c>
      <c r="R143" s="22">
        <v>40</v>
      </c>
      <c r="S143" s="22">
        <v>4.4900000000000001E-3</v>
      </c>
      <c r="T143" s="22">
        <v>69</v>
      </c>
      <c r="U143" s="22">
        <v>51</v>
      </c>
      <c r="V143" s="22">
        <v>51</v>
      </c>
      <c r="W143" s="23">
        <v>10</v>
      </c>
      <c r="X143" s="24">
        <v>10.9</v>
      </c>
      <c r="Y143" s="23">
        <v>109</v>
      </c>
      <c r="Z143" s="25">
        <v>1599</v>
      </c>
      <c r="AA143" s="45" t="s">
        <v>733</v>
      </c>
      <c r="AB143" s="23" t="s">
        <v>32</v>
      </c>
      <c r="AC143" s="23" t="s">
        <v>32</v>
      </c>
      <c r="AD143" s="26">
        <v>22.99</v>
      </c>
      <c r="AE143" s="45" t="s">
        <v>734</v>
      </c>
      <c r="AF143" s="37">
        <v>20.64836</v>
      </c>
      <c r="AG143" s="27">
        <f t="shared" si="0"/>
        <v>2.0648360000000001</v>
      </c>
      <c r="AH143" s="27">
        <f t="shared" si="1"/>
        <v>12.964836</v>
      </c>
      <c r="AI143" s="23">
        <f t="shared" si="2"/>
        <v>129.64836</v>
      </c>
      <c r="AJ143" s="33"/>
    </row>
    <row r="144" spans="1:36" ht="14.4">
      <c r="A144" s="22" t="s">
        <v>496</v>
      </c>
      <c r="B144" s="22" t="s">
        <v>497</v>
      </c>
      <c r="C144" s="23" t="s">
        <v>566</v>
      </c>
      <c r="D144" s="23" t="s">
        <v>24</v>
      </c>
      <c r="E144" s="22" t="s">
        <v>484</v>
      </c>
      <c r="F144" s="23" t="s">
        <v>414</v>
      </c>
      <c r="G144" s="23" t="s">
        <v>615</v>
      </c>
      <c r="H144" s="22" t="s">
        <v>414</v>
      </c>
      <c r="I144" s="23" t="s">
        <v>26</v>
      </c>
      <c r="J144" s="23" t="s">
        <v>127</v>
      </c>
      <c r="K144" s="22" t="s">
        <v>28</v>
      </c>
      <c r="L144" s="22" t="s">
        <v>51</v>
      </c>
      <c r="M144" s="22" t="s">
        <v>616</v>
      </c>
      <c r="N144" s="28" t="s">
        <v>30</v>
      </c>
      <c r="O144" s="22">
        <v>0.14000000000000001</v>
      </c>
      <c r="P144" s="22" t="s">
        <v>498</v>
      </c>
      <c r="Q144" s="22" t="s">
        <v>52</v>
      </c>
      <c r="R144" s="22">
        <v>50</v>
      </c>
      <c r="S144" s="22">
        <v>3.5899999999999999E-3</v>
      </c>
      <c r="T144" s="22">
        <v>69</v>
      </c>
      <c r="U144" s="22">
        <v>51</v>
      </c>
      <c r="V144" s="22">
        <v>51</v>
      </c>
      <c r="W144" s="23">
        <v>10</v>
      </c>
      <c r="X144" s="24">
        <v>4.0999999999999996</v>
      </c>
      <c r="Y144" s="23">
        <v>41</v>
      </c>
      <c r="Z144" s="25">
        <v>599</v>
      </c>
      <c r="AA144" s="45" t="s">
        <v>735</v>
      </c>
      <c r="AB144" s="23" t="s">
        <v>32</v>
      </c>
      <c r="AC144" s="23" t="s">
        <v>32</v>
      </c>
      <c r="AD144" s="23" t="s">
        <v>44</v>
      </c>
      <c r="AE144" s="22" t="s">
        <v>45</v>
      </c>
      <c r="AF144" s="37">
        <v>7.7668100000000004</v>
      </c>
      <c r="AG144" s="27">
        <f t="shared" si="0"/>
        <v>0.77668100000000007</v>
      </c>
      <c r="AH144" s="27">
        <f t="shared" si="1"/>
        <v>4.8766809999999996</v>
      </c>
      <c r="AI144" s="23">
        <f t="shared" si="2"/>
        <v>48.766809999999992</v>
      </c>
      <c r="AJ144" s="33"/>
    </row>
    <row r="145" spans="1:36" ht="14.4">
      <c r="A145" s="22" t="s">
        <v>499</v>
      </c>
      <c r="B145" s="22" t="s">
        <v>500</v>
      </c>
      <c r="C145" s="23" t="s">
        <v>562</v>
      </c>
      <c r="D145" s="23" t="s">
        <v>24</v>
      </c>
      <c r="E145" s="22" t="s">
        <v>403</v>
      </c>
      <c r="F145" s="23" t="s">
        <v>501</v>
      </c>
      <c r="G145" s="23" t="s">
        <v>615</v>
      </c>
      <c r="H145" s="22" t="s">
        <v>405</v>
      </c>
      <c r="I145" s="23" t="s">
        <v>26</v>
      </c>
      <c r="J145" s="23" t="s">
        <v>27</v>
      </c>
      <c r="K145" s="22" t="s">
        <v>84</v>
      </c>
      <c r="L145" s="22" t="s">
        <v>51</v>
      </c>
      <c r="M145" s="22" t="s">
        <v>624</v>
      </c>
      <c r="N145" s="28" t="s">
        <v>77</v>
      </c>
      <c r="O145" s="22">
        <v>0.45</v>
      </c>
      <c r="P145" s="22" t="s">
        <v>485</v>
      </c>
      <c r="Q145" s="22" t="s">
        <v>52</v>
      </c>
      <c r="R145" s="22">
        <v>50</v>
      </c>
      <c r="S145" s="22">
        <v>3.5899999999999999E-3</v>
      </c>
      <c r="T145" s="22">
        <v>69</v>
      </c>
      <c r="U145" s="22">
        <v>51</v>
      </c>
      <c r="V145" s="22">
        <v>51</v>
      </c>
      <c r="W145" s="23">
        <v>20</v>
      </c>
      <c r="X145" s="24">
        <v>12.8</v>
      </c>
      <c r="Y145" s="23">
        <v>256</v>
      </c>
      <c r="Z145" s="25">
        <v>1799</v>
      </c>
      <c r="AA145" s="45" t="s">
        <v>736</v>
      </c>
      <c r="AB145" s="29">
        <v>39</v>
      </c>
      <c r="AC145" s="48" t="s">
        <v>705</v>
      </c>
      <c r="AD145" s="26">
        <v>39.99</v>
      </c>
      <c r="AE145" s="45" t="s">
        <v>737</v>
      </c>
      <c r="AF145" s="37">
        <v>48.495220000000003</v>
      </c>
      <c r="AG145" s="27">
        <f t="shared" si="0"/>
        <v>2.4247610000000002</v>
      </c>
      <c r="AH145" s="27">
        <f t="shared" si="1"/>
        <v>15.224761000000001</v>
      </c>
      <c r="AI145" s="23">
        <f t="shared" si="2"/>
        <v>304.49522000000002</v>
      </c>
      <c r="AJ145" s="33"/>
    </row>
    <row r="146" spans="1:36" ht="14.4">
      <c r="A146" s="22" t="s">
        <v>502</v>
      </c>
      <c r="B146" s="22" t="s">
        <v>503</v>
      </c>
      <c r="C146" s="23" t="s">
        <v>563</v>
      </c>
      <c r="D146" s="23" t="s">
        <v>24</v>
      </c>
      <c r="E146" s="22" t="s">
        <v>403</v>
      </c>
      <c r="F146" s="23" t="s">
        <v>501</v>
      </c>
      <c r="G146" s="23" t="s">
        <v>615</v>
      </c>
      <c r="H146" s="22" t="s">
        <v>405</v>
      </c>
      <c r="I146" s="23" t="s">
        <v>26</v>
      </c>
      <c r="J146" s="23" t="s">
        <v>36</v>
      </c>
      <c r="K146" s="22" t="s">
        <v>84</v>
      </c>
      <c r="L146" s="22" t="s">
        <v>51</v>
      </c>
      <c r="M146" s="22" t="s">
        <v>624</v>
      </c>
      <c r="N146" s="28" t="s">
        <v>77</v>
      </c>
      <c r="O146" s="22">
        <v>0.14899999999999999</v>
      </c>
      <c r="P146" s="22" t="s">
        <v>488</v>
      </c>
      <c r="Q146" s="22" t="s">
        <v>52</v>
      </c>
      <c r="R146" s="22">
        <v>50</v>
      </c>
      <c r="S146" s="22">
        <v>3.5899999999999999E-3</v>
      </c>
      <c r="T146" s="22">
        <v>69</v>
      </c>
      <c r="U146" s="22">
        <v>51</v>
      </c>
      <c r="V146" s="22">
        <v>51</v>
      </c>
      <c r="W146" s="23">
        <v>20</v>
      </c>
      <c r="X146" s="24">
        <v>12.8</v>
      </c>
      <c r="Y146" s="23">
        <v>256</v>
      </c>
      <c r="Z146" s="25">
        <v>1799</v>
      </c>
      <c r="AA146" s="45" t="s">
        <v>738</v>
      </c>
      <c r="AB146" s="29">
        <v>39</v>
      </c>
      <c r="AC146" s="48" t="s">
        <v>705</v>
      </c>
      <c r="AD146" s="26">
        <v>39.99</v>
      </c>
      <c r="AE146" s="45" t="s">
        <v>737</v>
      </c>
      <c r="AF146" s="37">
        <v>48.495220000000003</v>
      </c>
      <c r="AG146" s="27">
        <f t="shared" si="0"/>
        <v>2.4247610000000002</v>
      </c>
      <c r="AH146" s="27">
        <f t="shared" si="1"/>
        <v>15.224761000000001</v>
      </c>
      <c r="AI146" s="23">
        <f t="shared" si="2"/>
        <v>304.49522000000002</v>
      </c>
      <c r="AJ146" s="33"/>
    </row>
    <row r="147" spans="1:36" ht="14.4">
      <c r="A147" s="22" t="s">
        <v>504</v>
      </c>
      <c r="B147" s="22" t="s">
        <v>505</v>
      </c>
      <c r="C147" s="23" t="s">
        <v>560</v>
      </c>
      <c r="D147" s="23" t="s">
        <v>24</v>
      </c>
      <c r="E147" s="22" t="s">
        <v>403</v>
      </c>
      <c r="F147" s="23" t="s">
        <v>93</v>
      </c>
      <c r="G147" s="23" t="s">
        <v>615</v>
      </c>
      <c r="H147" s="22" t="s">
        <v>506</v>
      </c>
      <c r="I147" s="23" t="s">
        <v>26</v>
      </c>
      <c r="J147" s="23" t="s">
        <v>42</v>
      </c>
      <c r="K147" s="22" t="s">
        <v>84</v>
      </c>
      <c r="L147" s="22" t="s">
        <v>51</v>
      </c>
      <c r="M147" s="22" t="s">
        <v>624</v>
      </c>
      <c r="N147" s="28" t="s">
        <v>77</v>
      </c>
      <c r="O147" s="22">
        <v>0.5</v>
      </c>
      <c r="P147" s="22" t="s">
        <v>485</v>
      </c>
      <c r="Q147" s="22" t="s">
        <v>52</v>
      </c>
      <c r="R147" s="22">
        <v>40</v>
      </c>
      <c r="S147" s="22">
        <v>4.4900000000000001E-3</v>
      </c>
      <c r="T147" s="22">
        <v>69</v>
      </c>
      <c r="U147" s="22">
        <v>51</v>
      </c>
      <c r="V147" s="22">
        <v>51</v>
      </c>
      <c r="W147" s="23">
        <v>5</v>
      </c>
      <c r="X147" s="24">
        <v>14.1</v>
      </c>
      <c r="Y147" s="23">
        <v>70.5</v>
      </c>
      <c r="Z147" s="25">
        <v>2199</v>
      </c>
      <c r="AA147" s="45" t="s">
        <v>739</v>
      </c>
      <c r="AB147" s="23" t="s">
        <v>32</v>
      </c>
      <c r="AC147" s="23" t="s">
        <v>32</v>
      </c>
      <c r="AD147" s="23" t="s">
        <v>44</v>
      </c>
      <c r="AE147" s="22" t="s">
        <v>45</v>
      </c>
      <c r="AF147" s="37">
        <v>13.355130000000001</v>
      </c>
      <c r="AG147" s="27">
        <f t="shared" si="0"/>
        <v>2.6710260000000003</v>
      </c>
      <c r="AH147" s="27">
        <f t="shared" si="1"/>
        <v>16.771025999999999</v>
      </c>
      <c r="AI147" s="23">
        <f t="shared" si="2"/>
        <v>83.855130000000003</v>
      </c>
      <c r="AJ147" s="33"/>
    </row>
    <row r="148" spans="1:36" ht="14.4">
      <c r="A148" s="22" t="s">
        <v>507</v>
      </c>
      <c r="B148" s="22" t="s">
        <v>508</v>
      </c>
      <c r="C148" s="23" t="s">
        <v>561</v>
      </c>
      <c r="D148" s="23" t="s">
        <v>24</v>
      </c>
      <c r="E148" s="22" t="s">
        <v>403</v>
      </c>
      <c r="F148" s="23" t="s">
        <v>93</v>
      </c>
      <c r="G148" s="23" t="s">
        <v>615</v>
      </c>
      <c r="H148" s="22" t="s">
        <v>506</v>
      </c>
      <c r="I148" s="23" t="s">
        <v>26</v>
      </c>
      <c r="J148" s="23" t="s">
        <v>108</v>
      </c>
      <c r="K148" s="22" t="s">
        <v>84</v>
      </c>
      <c r="L148" s="22" t="s">
        <v>51</v>
      </c>
      <c r="M148" s="22" t="s">
        <v>624</v>
      </c>
      <c r="N148" s="28" t="s">
        <v>77</v>
      </c>
      <c r="O148" s="22">
        <v>0.5</v>
      </c>
      <c r="P148" s="22" t="s">
        <v>485</v>
      </c>
      <c r="Q148" s="22" t="s">
        <v>52</v>
      </c>
      <c r="R148" s="22">
        <v>40</v>
      </c>
      <c r="S148" s="22">
        <v>4.4900000000000001E-3</v>
      </c>
      <c r="T148" s="22">
        <v>69</v>
      </c>
      <c r="U148" s="22">
        <v>51</v>
      </c>
      <c r="V148" s="22">
        <v>51</v>
      </c>
      <c r="W148" s="23">
        <v>5</v>
      </c>
      <c r="X148" s="24">
        <v>14.1</v>
      </c>
      <c r="Y148" s="23">
        <v>70.5</v>
      </c>
      <c r="Z148" s="25">
        <v>2199</v>
      </c>
      <c r="AA148" s="45" t="s">
        <v>740</v>
      </c>
      <c r="AB148" s="23" t="s">
        <v>32</v>
      </c>
      <c r="AC148" s="23" t="s">
        <v>32</v>
      </c>
      <c r="AD148" s="23" t="s">
        <v>44</v>
      </c>
      <c r="AE148" s="22" t="s">
        <v>45</v>
      </c>
      <c r="AF148" s="37">
        <v>13.355130000000001</v>
      </c>
      <c r="AG148" s="27">
        <f t="shared" si="0"/>
        <v>2.6710260000000003</v>
      </c>
      <c r="AH148" s="27">
        <f t="shared" si="1"/>
        <v>16.771025999999999</v>
      </c>
      <c r="AI148" s="23">
        <f t="shared" si="2"/>
        <v>83.855130000000003</v>
      </c>
      <c r="AJ148" s="33"/>
    </row>
    <row r="149" spans="1:36" ht="14.4">
      <c r="A149" s="22" t="s">
        <v>509</v>
      </c>
      <c r="B149" s="22" t="s">
        <v>510</v>
      </c>
      <c r="C149" s="23" t="s">
        <v>560</v>
      </c>
      <c r="D149" s="23" t="s">
        <v>24</v>
      </c>
      <c r="E149" s="22" t="s">
        <v>403</v>
      </c>
      <c r="F149" s="23" t="s">
        <v>511</v>
      </c>
      <c r="G149" s="23" t="s">
        <v>615</v>
      </c>
      <c r="H149" s="22" t="s">
        <v>512</v>
      </c>
      <c r="I149" s="23" t="s">
        <v>26</v>
      </c>
      <c r="J149" s="23" t="s">
        <v>42</v>
      </c>
      <c r="K149" s="22" t="s">
        <v>84</v>
      </c>
      <c r="L149" s="22" t="s">
        <v>51</v>
      </c>
      <c r="M149" s="22" t="s">
        <v>624</v>
      </c>
      <c r="N149" s="28" t="s">
        <v>77</v>
      </c>
      <c r="O149" s="22">
        <v>0.5</v>
      </c>
      <c r="P149" s="22" t="s">
        <v>435</v>
      </c>
      <c r="Q149" s="22" t="s">
        <v>52</v>
      </c>
      <c r="R149" s="22">
        <v>40</v>
      </c>
      <c r="S149" s="22">
        <v>4.4900000000000001E-3</v>
      </c>
      <c r="T149" s="22">
        <v>69</v>
      </c>
      <c r="U149" s="22">
        <v>51</v>
      </c>
      <c r="V149" s="22">
        <v>51</v>
      </c>
      <c r="W149" s="23">
        <v>10</v>
      </c>
      <c r="X149" s="24">
        <v>17</v>
      </c>
      <c r="Y149" s="23">
        <v>170</v>
      </c>
      <c r="Z149" s="25">
        <v>2699</v>
      </c>
      <c r="AA149" s="45" t="s">
        <v>741</v>
      </c>
      <c r="AB149" s="23" t="s">
        <v>32</v>
      </c>
      <c r="AC149" s="23" t="s">
        <v>32</v>
      </c>
      <c r="AD149" s="26">
        <v>49.99</v>
      </c>
      <c r="AE149" s="45" t="s">
        <v>742</v>
      </c>
      <c r="AF149" s="37">
        <v>32.203859999999999</v>
      </c>
      <c r="AG149" s="27">
        <f t="shared" si="0"/>
        <v>3.220386</v>
      </c>
      <c r="AH149" s="27">
        <f t="shared" si="1"/>
        <v>20.220386000000001</v>
      </c>
      <c r="AI149" s="23">
        <f t="shared" si="2"/>
        <v>202.20386000000002</v>
      </c>
      <c r="AJ149" s="33"/>
    </row>
    <row r="150" spans="1:36" ht="14.4">
      <c r="A150" s="22" t="s">
        <v>513</v>
      </c>
      <c r="B150" s="22" t="s">
        <v>594</v>
      </c>
      <c r="C150" s="23" t="s">
        <v>558</v>
      </c>
      <c r="D150" s="23" t="s">
        <v>24</v>
      </c>
      <c r="E150" s="22" t="s">
        <v>515</v>
      </c>
      <c r="F150" s="23" t="s">
        <v>463</v>
      </c>
      <c r="G150" s="23" t="s">
        <v>615</v>
      </c>
      <c r="H150" s="22" t="s">
        <v>463</v>
      </c>
      <c r="I150" s="23" t="s">
        <v>102</v>
      </c>
      <c r="J150" s="23" t="s">
        <v>42</v>
      </c>
      <c r="K150" s="22" t="s">
        <v>28</v>
      </c>
      <c r="L150" s="22" t="s">
        <v>51</v>
      </c>
      <c r="M150" s="22" t="s">
        <v>627</v>
      </c>
      <c r="N150" s="28" t="s">
        <v>84</v>
      </c>
      <c r="O150" s="22">
        <v>0.63</v>
      </c>
      <c r="P150" s="22" t="s">
        <v>516</v>
      </c>
      <c r="Q150" s="22" t="s">
        <v>31</v>
      </c>
      <c r="R150" s="22">
        <v>20</v>
      </c>
      <c r="S150" s="22">
        <v>4.28E-3</v>
      </c>
      <c r="T150" s="22">
        <v>89</v>
      </c>
      <c r="U150" s="22">
        <v>31</v>
      </c>
      <c r="V150" s="22">
        <v>31</v>
      </c>
      <c r="W150" s="23">
        <v>3</v>
      </c>
      <c r="X150" s="24">
        <v>21.2</v>
      </c>
      <c r="Y150" s="23">
        <v>63.6</v>
      </c>
      <c r="Z150" s="25">
        <v>2999</v>
      </c>
      <c r="AA150" s="46" t="s">
        <v>743</v>
      </c>
      <c r="AB150" s="29">
        <v>29</v>
      </c>
      <c r="AC150" s="48" t="s">
        <v>790</v>
      </c>
      <c r="AD150" s="23" t="s">
        <v>44</v>
      </c>
      <c r="AE150" s="22" t="s">
        <v>45</v>
      </c>
      <c r="AF150" s="37">
        <v>12.048030000000001</v>
      </c>
      <c r="AG150" s="27">
        <f t="shared" si="0"/>
        <v>4.0160100000000005</v>
      </c>
      <c r="AH150" s="27">
        <f t="shared" si="1"/>
        <v>25.216010000000001</v>
      </c>
      <c r="AI150" s="23">
        <f t="shared" si="2"/>
        <v>75.648030000000006</v>
      </c>
      <c r="AJ150" s="33"/>
    </row>
    <row r="151" spans="1:36" ht="14.4">
      <c r="A151" s="22" t="s">
        <v>517</v>
      </c>
      <c r="B151" s="22" t="s">
        <v>744</v>
      </c>
      <c r="C151" s="23" t="s">
        <v>556</v>
      </c>
      <c r="D151" s="23" t="s">
        <v>24</v>
      </c>
      <c r="E151" s="22" t="s">
        <v>515</v>
      </c>
      <c r="F151" s="23" t="s">
        <v>519</v>
      </c>
      <c r="G151" s="23" t="s">
        <v>615</v>
      </c>
      <c r="H151" s="22" t="s">
        <v>519</v>
      </c>
      <c r="I151" s="23" t="s">
        <v>520</v>
      </c>
      <c r="J151" s="23" t="s">
        <v>27</v>
      </c>
      <c r="K151" s="22" t="s">
        <v>28</v>
      </c>
      <c r="L151" s="22" t="s">
        <v>51</v>
      </c>
      <c r="M151" s="22" t="s">
        <v>627</v>
      </c>
      <c r="N151" s="28" t="s">
        <v>84</v>
      </c>
      <c r="O151" s="22">
        <v>0.4</v>
      </c>
      <c r="P151" s="22" t="s">
        <v>521</v>
      </c>
      <c r="Q151" s="22" t="s">
        <v>31</v>
      </c>
      <c r="R151" s="22">
        <v>25</v>
      </c>
      <c r="S151" s="22">
        <v>3.4199999999999999E-3</v>
      </c>
      <c r="T151" s="22">
        <v>89</v>
      </c>
      <c r="U151" s="22">
        <v>31</v>
      </c>
      <c r="V151" s="22">
        <v>31</v>
      </c>
      <c r="W151" s="23">
        <v>3</v>
      </c>
      <c r="X151" s="24">
        <v>17.5</v>
      </c>
      <c r="Y151" s="23">
        <v>52.5</v>
      </c>
      <c r="Z151" s="25">
        <v>2499</v>
      </c>
      <c r="AA151" s="46" t="s">
        <v>745</v>
      </c>
      <c r="AB151" s="23" t="s">
        <v>32</v>
      </c>
      <c r="AC151" s="23" t="s">
        <v>32</v>
      </c>
      <c r="AD151" s="26">
        <v>49.99</v>
      </c>
      <c r="AE151" s="45" t="s">
        <v>522</v>
      </c>
      <c r="AF151" s="37">
        <v>9.9453099999999992</v>
      </c>
      <c r="AG151" s="27">
        <f t="shared" si="0"/>
        <v>3.3151033333333331</v>
      </c>
      <c r="AH151" s="27">
        <f t="shared" si="1"/>
        <v>20.815103333333333</v>
      </c>
      <c r="AI151" s="23">
        <f t="shared" si="2"/>
        <v>62.445309999999999</v>
      </c>
      <c r="AJ151" s="33"/>
    </row>
    <row r="152" spans="1:36" ht="14.4">
      <c r="A152" s="22" t="s">
        <v>523</v>
      </c>
      <c r="B152" s="22" t="s">
        <v>746</v>
      </c>
      <c r="C152" s="23" t="s">
        <v>557</v>
      </c>
      <c r="D152" s="23" t="s">
        <v>24</v>
      </c>
      <c r="E152" s="22" t="s">
        <v>515</v>
      </c>
      <c r="F152" s="23" t="s">
        <v>519</v>
      </c>
      <c r="G152" s="23" t="s">
        <v>615</v>
      </c>
      <c r="H152" s="22" t="s">
        <v>519</v>
      </c>
      <c r="I152" s="23" t="s">
        <v>520</v>
      </c>
      <c r="J152" s="23" t="s">
        <v>36</v>
      </c>
      <c r="K152" s="22" t="s">
        <v>28</v>
      </c>
      <c r="L152" s="22" t="s">
        <v>51</v>
      </c>
      <c r="M152" s="22" t="s">
        <v>627</v>
      </c>
      <c r="N152" s="28" t="s">
        <v>84</v>
      </c>
      <c r="O152" s="22">
        <v>0.9</v>
      </c>
      <c r="P152" s="22" t="s">
        <v>117</v>
      </c>
      <c r="Q152" s="22" t="s">
        <v>31</v>
      </c>
      <c r="R152" s="22">
        <v>25</v>
      </c>
      <c r="S152" s="22">
        <v>3.4199999999999999E-3</v>
      </c>
      <c r="T152" s="22">
        <v>89</v>
      </c>
      <c r="U152" s="22">
        <v>31</v>
      </c>
      <c r="V152" s="22">
        <v>31</v>
      </c>
      <c r="W152" s="23">
        <v>3</v>
      </c>
      <c r="X152" s="24">
        <v>17.5</v>
      </c>
      <c r="Y152" s="23">
        <v>52.5</v>
      </c>
      <c r="Z152" s="25">
        <v>2499</v>
      </c>
      <c r="AA152" s="46" t="s">
        <v>747</v>
      </c>
      <c r="AB152" s="23" t="s">
        <v>32</v>
      </c>
      <c r="AC152" s="23" t="s">
        <v>32</v>
      </c>
      <c r="AD152" s="23" t="s">
        <v>44</v>
      </c>
      <c r="AE152" s="22" t="s">
        <v>45</v>
      </c>
      <c r="AF152" s="37">
        <v>9.9453099999999992</v>
      </c>
      <c r="AG152" s="27">
        <f t="shared" si="0"/>
        <v>3.3151033333333331</v>
      </c>
      <c r="AH152" s="27">
        <f t="shared" si="1"/>
        <v>20.815103333333333</v>
      </c>
      <c r="AI152" s="23">
        <f t="shared" si="2"/>
        <v>62.445309999999999</v>
      </c>
      <c r="AJ152" s="33"/>
    </row>
    <row r="153" spans="1:36" ht="14.4">
      <c r="A153" s="22" t="s">
        <v>525</v>
      </c>
      <c r="B153" s="22" t="s">
        <v>748</v>
      </c>
      <c r="C153" s="23" t="s">
        <v>556</v>
      </c>
      <c r="D153" s="23" t="s">
        <v>24</v>
      </c>
      <c r="E153" s="22" t="s">
        <v>515</v>
      </c>
      <c r="F153" s="23" t="s">
        <v>233</v>
      </c>
      <c r="G153" s="23" t="s">
        <v>615</v>
      </c>
      <c r="H153" s="22" t="s">
        <v>233</v>
      </c>
      <c r="I153" s="23" t="s">
        <v>156</v>
      </c>
      <c r="J153" s="23" t="s">
        <v>27</v>
      </c>
      <c r="K153" s="22" t="s">
        <v>28</v>
      </c>
      <c r="L153" s="22" t="s">
        <v>51</v>
      </c>
      <c r="M153" s="22" t="s">
        <v>627</v>
      </c>
      <c r="N153" s="28" t="s">
        <v>84</v>
      </c>
      <c r="O153" s="22">
        <v>0.8</v>
      </c>
      <c r="P153" s="22" t="s">
        <v>521</v>
      </c>
      <c r="Q153" s="22" t="s">
        <v>31</v>
      </c>
      <c r="R153" s="22">
        <v>25</v>
      </c>
      <c r="S153" s="22">
        <v>3.4199999999999999E-3</v>
      </c>
      <c r="T153" s="22">
        <v>89</v>
      </c>
      <c r="U153" s="22">
        <v>31</v>
      </c>
      <c r="V153" s="22">
        <v>31</v>
      </c>
      <c r="W153" s="23">
        <v>3</v>
      </c>
      <c r="X153" s="24">
        <v>12.1</v>
      </c>
      <c r="Y153" s="23">
        <v>36.299999999999997</v>
      </c>
      <c r="Z153" s="25">
        <v>1799</v>
      </c>
      <c r="AA153" s="46" t="s">
        <v>749</v>
      </c>
      <c r="AB153" s="23" t="s">
        <v>32</v>
      </c>
      <c r="AC153" s="23" t="s">
        <v>32</v>
      </c>
      <c r="AD153" s="23" t="s">
        <v>44</v>
      </c>
      <c r="AE153" s="22" t="s">
        <v>45</v>
      </c>
      <c r="AF153" s="37">
        <v>6.8764700000000003</v>
      </c>
      <c r="AG153" s="27">
        <f t="shared" si="0"/>
        <v>2.2921566666666666</v>
      </c>
      <c r="AH153" s="27">
        <f t="shared" si="1"/>
        <v>14.392156666666667</v>
      </c>
      <c r="AI153" s="23">
        <f t="shared" si="2"/>
        <v>43.176470000000002</v>
      </c>
      <c r="AJ153" s="33"/>
    </row>
    <row r="154" spans="1:36" ht="14.4">
      <c r="A154" s="22" t="s">
        <v>527</v>
      </c>
      <c r="B154" s="22" t="s">
        <v>750</v>
      </c>
      <c r="C154" s="23" t="s">
        <v>557</v>
      </c>
      <c r="D154" s="23" t="s">
        <v>24</v>
      </c>
      <c r="E154" s="22" t="s">
        <v>515</v>
      </c>
      <c r="F154" s="23" t="s">
        <v>233</v>
      </c>
      <c r="G154" s="23" t="s">
        <v>615</v>
      </c>
      <c r="H154" s="22" t="s">
        <v>233</v>
      </c>
      <c r="I154" s="23" t="s">
        <v>156</v>
      </c>
      <c r="J154" s="23" t="s">
        <v>36</v>
      </c>
      <c r="K154" s="22" t="s">
        <v>28</v>
      </c>
      <c r="L154" s="22" t="s">
        <v>51</v>
      </c>
      <c r="M154" s="22" t="s">
        <v>627</v>
      </c>
      <c r="N154" s="28" t="s">
        <v>84</v>
      </c>
      <c r="O154" s="22">
        <v>0.9</v>
      </c>
      <c r="P154" s="22" t="s">
        <v>529</v>
      </c>
      <c r="Q154" s="22" t="s">
        <v>31</v>
      </c>
      <c r="R154" s="22">
        <v>25</v>
      </c>
      <c r="S154" s="22">
        <v>3.4199999999999999E-3</v>
      </c>
      <c r="T154" s="22">
        <v>89</v>
      </c>
      <c r="U154" s="22">
        <v>31</v>
      </c>
      <c r="V154" s="22">
        <v>31</v>
      </c>
      <c r="W154" s="23">
        <v>3</v>
      </c>
      <c r="X154" s="24">
        <v>12.1</v>
      </c>
      <c r="Y154" s="23">
        <v>36.299999999999997</v>
      </c>
      <c r="Z154" s="25">
        <v>1799</v>
      </c>
      <c r="AA154" s="46" t="s">
        <v>791</v>
      </c>
      <c r="AB154" s="23" t="s">
        <v>32</v>
      </c>
      <c r="AC154" s="23" t="s">
        <v>32</v>
      </c>
      <c r="AD154" s="23" t="s">
        <v>44</v>
      </c>
      <c r="AE154" s="22" t="s">
        <v>45</v>
      </c>
      <c r="AF154" s="37">
        <v>6.8764700000000003</v>
      </c>
      <c r="AG154" s="27">
        <f t="shared" si="0"/>
        <v>2.2921566666666666</v>
      </c>
      <c r="AH154" s="27">
        <f t="shared" si="1"/>
        <v>14.392156666666667</v>
      </c>
      <c r="AI154" s="23">
        <f t="shared" si="2"/>
        <v>43.176470000000002</v>
      </c>
      <c r="AJ154" s="33"/>
    </row>
    <row r="155" spans="1:36" ht="14.4">
      <c r="A155" s="22" t="s">
        <v>530</v>
      </c>
      <c r="B155" s="22" t="s">
        <v>751</v>
      </c>
      <c r="C155" s="23" t="s">
        <v>566</v>
      </c>
      <c r="D155" s="23" t="s">
        <v>24</v>
      </c>
      <c r="E155" s="22" t="s">
        <v>515</v>
      </c>
      <c r="F155" s="23" t="s">
        <v>233</v>
      </c>
      <c r="G155" s="23" t="s">
        <v>615</v>
      </c>
      <c r="H155" s="22" t="s">
        <v>233</v>
      </c>
      <c r="I155" s="23" t="s">
        <v>156</v>
      </c>
      <c r="J155" s="23" t="s">
        <v>127</v>
      </c>
      <c r="K155" s="22" t="s">
        <v>28</v>
      </c>
      <c r="L155" s="22" t="s">
        <v>51</v>
      </c>
      <c r="M155" s="22" t="s">
        <v>627</v>
      </c>
      <c r="N155" s="28" t="s">
        <v>84</v>
      </c>
      <c r="O155" s="22">
        <v>0.09</v>
      </c>
      <c r="P155" s="22" t="s">
        <v>532</v>
      </c>
      <c r="Q155" s="22" t="s">
        <v>31</v>
      </c>
      <c r="R155" s="22">
        <v>25</v>
      </c>
      <c r="S155" s="22">
        <v>3.4199999999999999E-3</v>
      </c>
      <c r="T155" s="22">
        <v>89</v>
      </c>
      <c r="U155" s="22">
        <v>31</v>
      </c>
      <c r="V155" s="22">
        <v>31</v>
      </c>
      <c r="W155" s="23">
        <v>3</v>
      </c>
      <c r="X155" s="24">
        <v>12.1</v>
      </c>
      <c r="Y155" s="23">
        <v>36.299999999999997</v>
      </c>
      <c r="Z155" s="25">
        <v>1799</v>
      </c>
      <c r="AA155" s="46" t="s">
        <v>752</v>
      </c>
      <c r="AB155" s="23" t="s">
        <v>32</v>
      </c>
      <c r="AC155" s="23" t="s">
        <v>32</v>
      </c>
      <c r="AD155" s="23" t="s">
        <v>44</v>
      </c>
      <c r="AE155" s="22" t="s">
        <v>45</v>
      </c>
      <c r="AF155" s="37">
        <v>6.8764700000000003</v>
      </c>
      <c r="AG155" s="27">
        <f t="shared" si="0"/>
        <v>2.2921566666666666</v>
      </c>
      <c r="AH155" s="27">
        <f t="shared" si="1"/>
        <v>14.392156666666667</v>
      </c>
      <c r="AI155" s="23">
        <f t="shared" si="2"/>
        <v>43.176470000000002</v>
      </c>
      <c r="AJ155" s="33"/>
    </row>
    <row r="156" spans="1:36" ht="14.4">
      <c r="A156" s="22" t="s">
        <v>533</v>
      </c>
      <c r="B156" s="22" t="s">
        <v>595</v>
      </c>
      <c r="C156" s="23" t="s">
        <v>558</v>
      </c>
      <c r="D156" s="23" t="s">
        <v>24</v>
      </c>
      <c r="E156" s="22" t="s">
        <v>515</v>
      </c>
      <c r="F156" s="23" t="s">
        <v>535</v>
      </c>
      <c r="G156" s="23" t="s">
        <v>615</v>
      </c>
      <c r="H156" s="22" t="s">
        <v>535</v>
      </c>
      <c r="I156" s="23" t="s">
        <v>102</v>
      </c>
      <c r="J156" s="23" t="s">
        <v>42</v>
      </c>
      <c r="K156" s="22" t="s">
        <v>28</v>
      </c>
      <c r="L156" s="22" t="s">
        <v>51</v>
      </c>
      <c r="M156" s="22" t="s">
        <v>627</v>
      </c>
      <c r="N156" s="28" t="s">
        <v>84</v>
      </c>
      <c r="O156" s="22">
        <v>0.63</v>
      </c>
      <c r="P156" s="22" t="s">
        <v>516</v>
      </c>
      <c r="Q156" s="22" t="s">
        <v>31</v>
      </c>
      <c r="R156" s="22">
        <v>20</v>
      </c>
      <c r="S156" s="22">
        <v>4.28E-3</v>
      </c>
      <c r="T156" s="22">
        <v>89</v>
      </c>
      <c r="U156" s="22">
        <v>31</v>
      </c>
      <c r="V156" s="22">
        <v>31</v>
      </c>
      <c r="W156" s="23">
        <v>3</v>
      </c>
      <c r="X156" s="24">
        <v>10.7</v>
      </c>
      <c r="Y156" s="23">
        <v>32.1</v>
      </c>
      <c r="Z156" s="25">
        <v>1599</v>
      </c>
      <c r="AA156" s="46" t="s">
        <v>753</v>
      </c>
      <c r="AB156" s="23" t="s">
        <v>32</v>
      </c>
      <c r="AC156" s="23" t="s">
        <v>32</v>
      </c>
      <c r="AD156" s="23" t="s">
        <v>44</v>
      </c>
      <c r="AE156" s="22" t="s">
        <v>45</v>
      </c>
      <c r="AF156" s="37">
        <v>6.0808499999999999</v>
      </c>
      <c r="AG156" s="27">
        <f t="shared" si="0"/>
        <v>2.0269499999999998</v>
      </c>
      <c r="AH156" s="27">
        <f t="shared" si="1"/>
        <v>12.726949999999999</v>
      </c>
      <c r="AI156" s="23">
        <f t="shared" si="2"/>
        <v>38.180849999999992</v>
      </c>
      <c r="AJ156" s="33"/>
    </row>
    <row r="157" spans="1:36" ht="14.4">
      <c r="A157" s="22" t="s">
        <v>536</v>
      </c>
      <c r="B157" s="22" t="s">
        <v>754</v>
      </c>
      <c r="C157" s="23" t="s">
        <v>556</v>
      </c>
      <c r="D157" s="23" t="s">
        <v>24</v>
      </c>
      <c r="E157" s="22" t="s">
        <v>538</v>
      </c>
      <c r="F157" s="23" t="s">
        <v>233</v>
      </c>
      <c r="G157" s="23" t="s">
        <v>615</v>
      </c>
      <c r="H157" s="22" t="s">
        <v>233</v>
      </c>
      <c r="I157" s="23" t="s">
        <v>138</v>
      </c>
      <c r="J157" s="23" t="s">
        <v>27</v>
      </c>
      <c r="K157" s="22" t="s">
        <v>28</v>
      </c>
      <c r="L157" s="22" t="s">
        <v>51</v>
      </c>
      <c r="M157" s="22" t="s">
        <v>627</v>
      </c>
      <c r="N157" s="28" t="s">
        <v>84</v>
      </c>
      <c r="O157" s="22">
        <v>1.07</v>
      </c>
      <c r="P157" s="22" t="s">
        <v>539</v>
      </c>
      <c r="Q157" s="22" t="s">
        <v>52</v>
      </c>
      <c r="R157" s="22">
        <v>12</v>
      </c>
      <c r="S157" s="22">
        <v>1.4959999999999999E-2</v>
      </c>
      <c r="T157" s="22">
        <v>70</v>
      </c>
      <c r="U157" s="22">
        <v>30</v>
      </c>
      <c r="V157" s="22">
        <v>6</v>
      </c>
      <c r="W157" s="23">
        <v>3</v>
      </c>
      <c r="X157" s="24">
        <v>10.9</v>
      </c>
      <c r="Y157" s="23">
        <v>32.700000000000003</v>
      </c>
      <c r="Z157" s="25">
        <v>1549</v>
      </c>
      <c r="AA157" s="45" t="s">
        <v>755</v>
      </c>
      <c r="AB157" s="23" t="s">
        <v>32</v>
      </c>
      <c r="AC157" s="23" t="s">
        <v>32</v>
      </c>
      <c r="AD157" s="26">
        <v>38.99</v>
      </c>
      <c r="AE157" s="45" t="s">
        <v>540</v>
      </c>
      <c r="AF157" s="37">
        <v>6.1945100000000002</v>
      </c>
      <c r="AG157" s="27">
        <f t="shared" si="0"/>
        <v>2.0648366666666669</v>
      </c>
      <c r="AH157" s="27">
        <f t="shared" si="1"/>
        <v>12.964836666666667</v>
      </c>
      <c r="AI157" s="23">
        <f t="shared" si="2"/>
        <v>38.894509999999997</v>
      </c>
      <c r="AJ157" s="33"/>
    </row>
    <row r="158" spans="1:36" ht="14.4">
      <c r="A158" s="22" t="s">
        <v>541</v>
      </c>
      <c r="B158" s="22" t="s">
        <v>596</v>
      </c>
      <c r="C158" s="23" t="s">
        <v>558</v>
      </c>
      <c r="D158" s="23" t="s">
        <v>24</v>
      </c>
      <c r="E158" s="22" t="s">
        <v>538</v>
      </c>
      <c r="F158" s="23" t="s">
        <v>410</v>
      </c>
      <c r="G158" s="23" t="s">
        <v>615</v>
      </c>
      <c r="H158" s="22" t="s">
        <v>410</v>
      </c>
      <c r="I158" s="23" t="s">
        <v>138</v>
      </c>
      <c r="J158" s="23" t="s">
        <v>42</v>
      </c>
      <c r="K158" s="22" t="s">
        <v>28</v>
      </c>
      <c r="L158" s="22" t="s">
        <v>51</v>
      </c>
      <c r="M158" s="22" t="s">
        <v>627</v>
      </c>
      <c r="N158" s="28" t="s">
        <v>84</v>
      </c>
      <c r="O158" s="22">
        <v>1.3</v>
      </c>
      <c r="P158" s="22" t="s">
        <v>85</v>
      </c>
      <c r="Q158" s="22" t="s">
        <v>52</v>
      </c>
      <c r="R158" s="22">
        <v>12</v>
      </c>
      <c r="S158" s="22">
        <v>1.4959999999999999E-2</v>
      </c>
      <c r="T158" s="22">
        <v>70</v>
      </c>
      <c r="U158" s="22">
        <v>31</v>
      </c>
      <c r="V158" s="22">
        <v>10</v>
      </c>
      <c r="W158" s="23">
        <v>2</v>
      </c>
      <c r="X158" s="24">
        <v>17.3</v>
      </c>
      <c r="Y158" s="23">
        <v>34.6</v>
      </c>
      <c r="Z158" s="25">
        <v>2799</v>
      </c>
      <c r="AA158" s="45" t="s">
        <v>756</v>
      </c>
      <c r="AB158" s="29">
        <v>10</v>
      </c>
      <c r="AC158" s="48" t="s">
        <v>708</v>
      </c>
      <c r="AD158" s="26">
        <v>9.99</v>
      </c>
      <c r="AE158" s="45" t="s">
        <v>543</v>
      </c>
      <c r="AF158" s="37">
        <v>6.55443</v>
      </c>
      <c r="AG158" s="27">
        <f t="shared" si="0"/>
        <v>3.277215</v>
      </c>
      <c r="AH158" s="27">
        <f t="shared" si="1"/>
        <v>20.577215000000002</v>
      </c>
      <c r="AI158" s="23">
        <f t="shared" si="2"/>
        <v>41.154430000000005</v>
      </c>
      <c r="AJ158" s="33"/>
    </row>
    <row r="159" spans="1:36" ht="14.4">
      <c r="A159" s="22" t="s">
        <v>544</v>
      </c>
      <c r="B159" s="22" t="s">
        <v>597</v>
      </c>
      <c r="C159" s="23" t="s">
        <v>558</v>
      </c>
      <c r="D159" s="23" t="s">
        <v>24</v>
      </c>
      <c r="E159" s="22" t="s">
        <v>538</v>
      </c>
      <c r="F159" s="23" t="s">
        <v>546</v>
      </c>
      <c r="G159" s="23" t="s">
        <v>615</v>
      </c>
      <c r="H159" s="22" t="s">
        <v>546</v>
      </c>
      <c r="I159" s="23" t="s">
        <v>146</v>
      </c>
      <c r="J159" s="23" t="s">
        <v>42</v>
      </c>
      <c r="K159" s="22" t="s">
        <v>28</v>
      </c>
      <c r="L159" s="22" t="s">
        <v>51</v>
      </c>
      <c r="M159" s="22" t="s">
        <v>627</v>
      </c>
      <c r="N159" s="28" t="s">
        <v>84</v>
      </c>
      <c r="O159" s="22">
        <v>0.98</v>
      </c>
      <c r="P159" s="22" t="s">
        <v>85</v>
      </c>
      <c r="Q159" s="22" t="s">
        <v>52</v>
      </c>
      <c r="R159" s="22">
        <v>12</v>
      </c>
      <c r="S159" s="22">
        <v>1.4959999999999999E-2</v>
      </c>
      <c r="T159" s="22">
        <v>70</v>
      </c>
      <c r="U159" s="22">
        <v>30</v>
      </c>
      <c r="V159" s="22">
        <v>6</v>
      </c>
      <c r="W159" s="23">
        <v>3</v>
      </c>
      <c r="X159" s="24">
        <v>10.9</v>
      </c>
      <c r="Y159" s="23">
        <v>32.700000000000003</v>
      </c>
      <c r="Z159" s="25">
        <v>1549</v>
      </c>
      <c r="AA159" s="45" t="s">
        <v>757</v>
      </c>
      <c r="AB159" s="23" t="s">
        <v>32</v>
      </c>
      <c r="AC159" s="23" t="s">
        <v>32</v>
      </c>
      <c r="AD159" s="23" t="s">
        <v>44</v>
      </c>
      <c r="AE159" s="22" t="s">
        <v>45</v>
      </c>
      <c r="AF159" s="37">
        <v>6.1945100000000002</v>
      </c>
      <c r="AG159" s="27">
        <f t="shared" si="0"/>
        <v>2.0648366666666669</v>
      </c>
      <c r="AH159" s="27">
        <f t="shared" si="1"/>
        <v>12.964836666666667</v>
      </c>
      <c r="AI159" s="23">
        <f t="shared" si="2"/>
        <v>38.894509999999997</v>
      </c>
      <c r="AJ159" s="33"/>
    </row>
    <row r="160" spans="1:36" ht="14.4">
      <c r="A160" s="22" t="s">
        <v>547</v>
      </c>
      <c r="B160" s="22" t="s">
        <v>758</v>
      </c>
      <c r="C160" s="23" t="s">
        <v>557</v>
      </c>
      <c r="D160" s="23" t="s">
        <v>24</v>
      </c>
      <c r="E160" s="22" t="s">
        <v>538</v>
      </c>
      <c r="F160" s="23" t="s">
        <v>233</v>
      </c>
      <c r="G160" s="23" t="s">
        <v>615</v>
      </c>
      <c r="H160" s="22" t="s">
        <v>233</v>
      </c>
      <c r="I160" s="23" t="s">
        <v>138</v>
      </c>
      <c r="J160" s="23" t="s">
        <v>36</v>
      </c>
      <c r="K160" s="22" t="s">
        <v>28</v>
      </c>
      <c r="L160" s="22" t="s">
        <v>51</v>
      </c>
      <c r="M160" s="22" t="s">
        <v>627</v>
      </c>
      <c r="N160" s="28" t="s">
        <v>84</v>
      </c>
      <c r="O160" s="22">
        <v>1.0549999999999999</v>
      </c>
      <c r="P160" s="22" t="s">
        <v>150</v>
      </c>
      <c r="Q160" s="22" t="s">
        <v>52</v>
      </c>
      <c r="R160" s="22">
        <v>12</v>
      </c>
      <c r="S160" s="22">
        <v>1.4959999999999999E-2</v>
      </c>
      <c r="T160" s="22">
        <v>70</v>
      </c>
      <c r="U160" s="22">
        <v>30</v>
      </c>
      <c r="V160" s="22">
        <v>6</v>
      </c>
      <c r="W160" s="23">
        <v>3</v>
      </c>
      <c r="X160" s="24">
        <v>10.9</v>
      </c>
      <c r="Y160" s="23">
        <v>32.700000000000003</v>
      </c>
      <c r="Z160" s="25">
        <v>1549</v>
      </c>
      <c r="AA160" s="45" t="s">
        <v>759</v>
      </c>
      <c r="AB160" s="23" t="s">
        <v>32</v>
      </c>
      <c r="AC160" s="23" t="s">
        <v>32</v>
      </c>
      <c r="AD160" s="23" t="s">
        <v>44</v>
      </c>
      <c r="AE160" s="22" t="s">
        <v>45</v>
      </c>
      <c r="AF160" s="37">
        <v>6.1945100000000002</v>
      </c>
      <c r="AG160" s="27">
        <f t="shared" si="0"/>
        <v>2.0648366666666669</v>
      </c>
      <c r="AH160" s="27">
        <f t="shared" si="1"/>
        <v>12.964836666666667</v>
      </c>
      <c r="AI160" s="23">
        <f t="shared" si="2"/>
        <v>38.894509999999997</v>
      </c>
      <c r="AJ160" s="33"/>
    </row>
    <row r="161" spans="1:36" ht="14.4">
      <c r="A161" s="22" t="s">
        <v>549</v>
      </c>
      <c r="B161" s="22" t="s">
        <v>760</v>
      </c>
      <c r="C161" s="23" t="s">
        <v>566</v>
      </c>
      <c r="D161" s="23" t="s">
        <v>24</v>
      </c>
      <c r="E161" s="22" t="s">
        <v>538</v>
      </c>
      <c r="F161" s="23" t="s">
        <v>233</v>
      </c>
      <c r="G161" s="23" t="s">
        <v>615</v>
      </c>
      <c r="H161" s="22" t="s">
        <v>233</v>
      </c>
      <c r="I161" s="23" t="s">
        <v>138</v>
      </c>
      <c r="J161" s="23" t="s">
        <v>127</v>
      </c>
      <c r="K161" s="22" t="s">
        <v>28</v>
      </c>
      <c r="L161" s="22" t="s">
        <v>51</v>
      </c>
      <c r="M161" s="22" t="s">
        <v>627</v>
      </c>
      <c r="N161" s="28" t="s">
        <v>84</v>
      </c>
      <c r="O161" s="22">
        <v>1.04</v>
      </c>
      <c r="P161" s="22" t="s">
        <v>153</v>
      </c>
      <c r="Q161" s="22" t="s">
        <v>52</v>
      </c>
      <c r="R161" s="22">
        <v>14</v>
      </c>
      <c r="S161" s="22">
        <v>1.282E-2</v>
      </c>
      <c r="T161" s="22">
        <v>70</v>
      </c>
      <c r="U161" s="22">
        <v>30</v>
      </c>
      <c r="V161" s="22">
        <v>6</v>
      </c>
      <c r="W161" s="23">
        <v>3</v>
      </c>
      <c r="X161" s="24">
        <v>10.9</v>
      </c>
      <c r="Y161" s="23">
        <v>32.700000000000003</v>
      </c>
      <c r="Z161" s="25">
        <v>1549</v>
      </c>
      <c r="AA161" s="45" t="s">
        <v>761</v>
      </c>
      <c r="AB161" s="23" t="s">
        <v>32</v>
      </c>
      <c r="AC161" s="23" t="s">
        <v>32</v>
      </c>
      <c r="AD161" s="23" t="s">
        <v>44</v>
      </c>
      <c r="AE161" s="22" t="s">
        <v>45</v>
      </c>
      <c r="AF161" s="37">
        <v>6.1945100000000002</v>
      </c>
      <c r="AG161" s="27">
        <f t="shared" si="0"/>
        <v>2.0648366666666669</v>
      </c>
      <c r="AH161" s="27">
        <f t="shared" si="1"/>
        <v>12.964836666666667</v>
      </c>
      <c r="AI161" s="23">
        <f t="shared" si="2"/>
        <v>38.894509999999997</v>
      </c>
      <c r="AJ161" s="33"/>
    </row>
    <row r="162" spans="1:36" ht="14.4">
      <c r="A162" s="22" t="s">
        <v>551</v>
      </c>
      <c r="B162" s="22" t="s">
        <v>598</v>
      </c>
      <c r="C162" s="23" t="s">
        <v>558</v>
      </c>
      <c r="D162" s="23" t="s">
        <v>24</v>
      </c>
      <c r="E162" s="22" t="s">
        <v>538</v>
      </c>
      <c r="F162" s="23" t="s">
        <v>553</v>
      </c>
      <c r="G162" s="23" t="s">
        <v>615</v>
      </c>
      <c r="H162" s="22" t="s">
        <v>553</v>
      </c>
      <c r="I162" s="23" t="s">
        <v>138</v>
      </c>
      <c r="J162" s="23" t="s">
        <v>42</v>
      </c>
      <c r="K162" s="22" t="s">
        <v>28</v>
      </c>
      <c r="L162" s="22" t="s">
        <v>51</v>
      </c>
      <c r="M162" s="22" t="s">
        <v>627</v>
      </c>
      <c r="N162" s="28" t="s">
        <v>84</v>
      </c>
      <c r="O162" s="22">
        <v>1.1000000000000001</v>
      </c>
      <c r="P162" s="22" t="s">
        <v>85</v>
      </c>
      <c r="Q162" s="22" t="s">
        <v>52</v>
      </c>
      <c r="R162" s="22">
        <v>10</v>
      </c>
      <c r="S162" s="22">
        <v>1.7950000000000001E-2</v>
      </c>
      <c r="T162" s="22">
        <v>72</v>
      </c>
      <c r="U162" s="22">
        <v>32</v>
      </c>
      <c r="V162" s="22">
        <v>12</v>
      </c>
      <c r="W162" s="23">
        <v>3</v>
      </c>
      <c r="X162" s="24">
        <v>21.7</v>
      </c>
      <c r="Y162" s="23">
        <v>65.099999999999994</v>
      </c>
      <c r="Z162" s="25">
        <v>2999</v>
      </c>
      <c r="AA162" s="45" t="s">
        <v>762</v>
      </c>
      <c r="AB162" s="23" t="s">
        <v>32</v>
      </c>
      <c r="AC162" s="23" t="s">
        <v>32</v>
      </c>
      <c r="AD162" s="26">
        <v>44.99</v>
      </c>
      <c r="AE162" s="45" t="s">
        <v>554</v>
      </c>
      <c r="AF162" s="37">
        <v>12.332179999999999</v>
      </c>
      <c r="AG162" s="27">
        <f t="shared" si="0"/>
        <v>4.1107266666666664</v>
      </c>
      <c r="AH162" s="27">
        <f t="shared" si="1"/>
        <v>25.810726666666667</v>
      </c>
      <c r="AI162" s="23">
        <f t="shared" si="2"/>
        <v>77.432180000000002</v>
      </c>
      <c r="AJ162" s="33"/>
    </row>
    <row r="163" spans="1:36" ht="14.4">
      <c r="A163" s="54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39">
        <v>23165.9</v>
      </c>
      <c r="Z163" s="57"/>
      <c r="AA163" s="55"/>
      <c r="AB163" s="55"/>
      <c r="AC163" s="55"/>
      <c r="AD163" s="55"/>
      <c r="AE163" s="56"/>
      <c r="AF163" s="32"/>
      <c r="AG163" s="32"/>
      <c r="AH163" s="32"/>
      <c r="AI163" s="32"/>
      <c r="AJ163" s="40"/>
    </row>
    <row r="164" spans="1:36" ht="14.4">
      <c r="A164" s="54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41">
        <v>27554.32</v>
      </c>
      <c r="Z164" s="57"/>
      <c r="AA164" s="55"/>
      <c r="AB164" s="55"/>
      <c r="AC164" s="55"/>
      <c r="AD164" s="55"/>
      <c r="AE164" s="56"/>
      <c r="AF164" s="42"/>
      <c r="AG164" s="42"/>
      <c r="AH164" s="42"/>
      <c r="AI164" s="42"/>
      <c r="AJ164" s="6"/>
    </row>
    <row r="165" spans="1:36" ht="14.4">
      <c r="A165" s="11"/>
      <c r="B165" s="11"/>
      <c r="C165" s="10"/>
      <c r="D165" s="10"/>
      <c r="E165" s="11"/>
      <c r="F165" s="10"/>
      <c r="G165" s="10"/>
      <c r="H165" s="10"/>
      <c r="I165" s="10"/>
      <c r="J165" s="10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34"/>
      <c r="AA165" s="35"/>
      <c r="AB165" s="10"/>
      <c r="AC165" s="10"/>
      <c r="AD165" s="10"/>
      <c r="AE165" s="11"/>
      <c r="AF165" s="10"/>
      <c r="AG165" s="10"/>
      <c r="AH165" s="10"/>
      <c r="AI165" s="10"/>
      <c r="AJ165" s="11"/>
    </row>
    <row r="166" spans="1:36" ht="14.4">
      <c r="A166" s="11"/>
      <c r="B166" s="11"/>
      <c r="C166" s="10"/>
      <c r="D166" s="10"/>
      <c r="E166" s="11"/>
      <c r="F166" s="10"/>
      <c r="G166" s="10"/>
      <c r="H166" s="10"/>
      <c r="I166" s="10"/>
      <c r="J166" s="10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34"/>
      <c r="AA166" s="35"/>
      <c r="AB166" s="10"/>
      <c r="AC166" s="10"/>
      <c r="AD166" s="10"/>
      <c r="AE166" s="11"/>
      <c r="AF166" s="10"/>
      <c r="AG166" s="10"/>
      <c r="AH166" s="10"/>
      <c r="AI166" s="10"/>
      <c r="AJ166" s="11"/>
    </row>
    <row r="167" spans="1:36" ht="14.4">
      <c r="G167" s="51"/>
      <c r="I167" s="51"/>
      <c r="Z167" s="52"/>
      <c r="AF167" s="51"/>
      <c r="AG167" s="51"/>
      <c r="AH167" s="51"/>
      <c r="AI167" s="51"/>
    </row>
    <row r="168" spans="1:36" ht="14.4">
      <c r="G168" s="51"/>
      <c r="I168" s="51"/>
      <c r="Z168" s="52"/>
      <c r="AF168" s="51"/>
      <c r="AG168" s="51"/>
      <c r="AH168" s="51"/>
      <c r="AI168" s="51"/>
    </row>
    <row r="169" spans="1:36" ht="14.4">
      <c r="G169" s="51"/>
      <c r="I169" s="51"/>
      <c r="Z169" s="52"/>
      <c r="AF169" s="51"/>
      <c r="AG169" s="51"/>
      <c r="AH169" s="51"/>
      <c r="AI169" s="51"/>
    </row>
    <row r="170" spans="1:36" ht="14.4">
      <c r="G170" s="51"/>
      <c r="I170" s="51"/>
      <c r="Z170" s="52"/>
      <c r="AF170" s="51"/>
      <c r="AG170" s="51"/>
      <c r="AH170" s="51"/>
      <c r="AI170" s="51"/>
    </row>
    <row r="171" spans="1:36" ht="14.4">
      <c r="G171" s="51"/>
      <c r="I171" s="51"/>
      <c r="Z171" s="52"/>
      <c r="AF171" s="51"/>
      <c r="AG171" s="51"/>
      <c r="AH171" s="51"/>
      <c r="AI171" s="51"/>
    </row>
    <row r="172" spans="1:36" ht="14.4">
      <c r="G172" s="51"/>
      <c r="I172" s="51"/>
      <c r="Z172" s="52"/>
      <c r="AF172" s="51"/>
      <c r="AG172" s="51"/>
      <c r="AH172" s="51"/>
      <c r="AI172" s="51"/>
    </row>
    <row r="173" spans="1:36" ht="14.4">
      <c r="G173" s="51"/>
      <c r="I173" s="51"/>
      <c r="Z173" s="52"/>
      <c r="AF173" s="51"/>
      <c r="AG173" s="51"/>
      <c r="AH173" s="51"/>
      <c r="AI173" s="51"/>
    </row>
    <row r="174" spans="1:36" ht="14.4">
      <c r="G174" s="51"/>
      <c r="I174" s="51"/>
      <c r="Z174" s="52"/>
      <c r="AF174" s="51"/>
      <c r="AG174" s="51"/>
      <c r="AH174" s="51"/>
      <c r="AI174" s="51"/>
    </row>
    <row r="175" spans="1:36" ht="14.4">
      <c r="G175" s="51"/>
      <c r="I175" s="51"/>
      <c r="Z175" s="52"/>
      <c r="AF175" s="51"/>
      <c r="AG175" s="51"/>
      <c r="AH175" s="51"/>
      <c r="AI175" s="51"/>
    </row>
    <row r="176" spans="1:36" ht="14.4">
      <c r="G176" s="51"/>
      <c r="I176" s="51"/>
      <c r="Z176" s="52"/>
      <c r="AF176" s="51"/>
      <c r="AG176" s="51"/>
      <c r="AH176" s="51"/>
      <c r="AI176" s="51"/>
    </row>
    <row r="177" spans="7:35" ht="14.4">
      <c r="G177" s="51"/>
      <c r="I177" s="51"/>
      <c r="Z177" s="52"/>
      <c r="AF177" s="51"/>
      <c r="AG177" s="51"/>
      <c r="AH177" s="51"/>
      <c r="AI177" s="51"/>
    </row>
    <row r="178" spans="7:35" ht="14.4">
      <c r="G178" s="51"/>
      <c r="I178" s="51"/>
      <c r="Z178" s="52"/>
      <c r="AF178" s="51"/>
      <c r="AG178" s="51"/>
      <c r="AH178" s="51"/>
      <c r="AI178" s="51"/>
    </row>
    <row r="179" spans="7:35" ht="14.4">
      <c r="G179" s="51"/>
      <c r="I179" s="51"/>
      <c r="Z179" s="52"/>
      <c r="AF179" s="51"/>
      <c r="AG179" s="51"/>
      <c r="AH179" s="51"/>
      <c r="AI179" s="51"/>
    </row>
    <row r="180" spans="7:35" ht="14.4">
      <c r="G180" s="51"/>
      <c r="I180" s="51"/>
      <c r="Z180" s="52"/>
      <c r="AF180" s="51"/>
      <c r="AG180" s="51"/>
      <c r="AH180" s="51"/>
      <c r="AI180" s="51"/>
    </row>
    <row r="181" spans="7:35" ht="14.4">
      <c r="G181" s="51"/>
      <c r="I181" s="51"/>
      <c r="Z181" s="52"/>
      <c r="AF181" s="51"/>
      <c r="AG181" s="51"/>
      <c r="AH181" s="51"/>
      <c r="AI181" s="51"/>
    </row>
    <row r="182" spans="7:35" ht="14.4">
      <c r="G182" s="51"/>
      <c r="I182" s="51"/>
      <c r="Z182" s="52"/>
      <c r="AF182" s="51"/>
      <c r="AG182" s="51"/>
      <c r="AH182" s="51"/>
      <c r="AI182" s="51"/>
    </row>
    <row r="183" spans="7:35" ht="14.4">
      <c r="G183" s="51"/>
      <c r="I183" s="51"/>
      <c r="Z183" s="52"/>
      <c r="AF183" s="51"/>
      <c r="AG183" s="51"/>
      <c r="AH183" s="51"/>
      <c r="AI183" s="51"/>
    </row>
    <row r="184" spans="7:35" ht="14.4">
      <c r="G184" s="51"/>
      <c r="I184" s="51"/>
      <c r="Z184" s="52"/>
      <c r="AF184" s="51"/>
      <c r="AG184" s="51"/>
      <c r="AH184" s="51"/>
      <c r="AI184" s="51"/>
    </row>
    <row r="185" spans="7:35" ht="14.4">
      <c r="G185" s="51"/>
      <c r="I185" s="51"/>
      <c r="Z185" s="52"/>
      <c r="AF185" s="51"/>
      <c r="AG185" s="51"/>
      <c r="AH185" s="51"/>
      <c r="AI185" s="51"/>
    </row>
    <row r="186" spans="7:35" ht="14.4">
      <c r="G186" s="51"/>
      <c r="I186" s="51"/>
      <c r="Z186" s="52"/>
      <c r="AF186" s="51"/>
      <c r="AG186" s="51"/>
      <c r="AH186" s="51"/>
      <c r="AI186" s="51"/>
    </row>
    <row r="187" spans="7:35" ht="14.4">
      <c r="G187" s="51"/>
      <c r="I187" s="51"/>
      <c r="Z187" s="52"/>
      <c r="AF187" s="51"/>
      <c r="AG187" s="51"/>
      <c r="AH187" s="51"/>
      <c r="AI187" s="51"/>
    </row>
    <row r="188" spans="7:35" ht="14.4">
      <c r="G188" s="51"/>
      <c r="I188" s="51"/>
      <c r="Z188" s="52"/>
      <c r="AF188" s="51"/>
      <c r="AG188" s="51"/>
      <c r="AH188" s="51"/>
      <c r="AI188" s="51"/>
    </row>
    <row r="189" spans="7:35" ht="14.4">
      <c r="G189" s="51"/>
      <c r="I189" s="51"/>
      <c r="Z189" s="52"/>
      <c r="AF189" s="51"/>
      <c r="AG189" s="51"/>
      <c r="AH189" s="51"/>
      <c r="AI189" s="51"/>
    </row>
    <row r="190" spans="7:35" ht="14.4">
      <c r="G190" s="51"/>
      <c r="I190" s="51"/>
      <c r="Z190" s="52"/>
      <c r="AF190" s="51"/>
      <c r="AG190" s="51"/>
      <c r="AH190" s="51"/>
      <c r="AI190" s="51"/>
    </row>
    <row r="191" spans="7:35" ht="14.4">
      <c r="G191" s="51"/>
      <c r="I191" s="51"/>
      <c r="Z191" s="52"/>
      <c r="AF191" s="51"/>
      <c r="AG191" s="51"/>
      <c r="AH191" s="51"/>
      <c r="AI191" s="51"/>
    </row>
    <row r="192" spans="7:35" ht="14.4">
      <c r="G192" s="51"/>
      <c r="I192" s="51"/>
      <c r="Z192" s="52"/>
      <c r="AF192" s="51"/>
      <c r="AG192" s="51"/>
      <c r="AH192" s="51"/>
      <c r="AI192" s="51"/>
    </row>
    <row r="193" spans="7:35" ht="14.4">
      <c r="G193" s="51"/>
      <c r="I193" s="51"/>
      <c r="Z193" s="52"/>
      <c r="AF193" s="51"/>
      <c r="AG193" s="51"/>
      <c r="AH193" s="51"/>
      <c r="AI193" s="51"/>
    </row>
    <row r="194" spans="7:35" ht="14.4">
      <c r="G194" s="51"/>
      <c r="I194" s="51"/>
      <c r="Z194" s="52"/>
      <c r="AF194" s="51"/>
      <c r="AG194" s="51"/>
      <c r="AH194" s="51"/>
      <c r="AI194" s="51"/>
    </row>
    <row r="195" spans="7:35" ht="14.4">
      <c r="G195" s="51"/>
      <c r="I195" s="51"/>
      <c r="Z195" s="52"/>
      <c r="AF195" s="51"/>
      <c r="AG195" s="51"/>
      <c r="AH195" s="51"/>
      <c r="AI195" s="51"/>
    </row>
    <row r="196" spans="7:35" ht="14.4">
      <c r="G196" s="51"/>
      <c r="I196" s="51"/>
      <c r="Z196" s="52"/>
      <c r="AF196" s="51"/>
      <c r="AG196" s="51"/>
      <c r="AH196" s="51"/>
      <c r="AI196" s="51"/>
    </row>
    <row r="197" spans="7:35" ht="14.4">
      <c r="G197" s="51"/>
      <c r="I197" s="51"/>
      <c r="Z197" s="52"/>
      <c r="AF197" s="51"/>
      <c r="AG197" s="51"/>
      <c r="AH197" s="51"/>
      <c r="AI197" s="51"/>
    </row>
    <row r="198" spans="7:35" ht="14.4">
      <c r="G198" s="51"/>
      <c r="I198" s="51"/>
      <c r="Z198" s="52"/>
      <c r="AF198" s="51"/>
      <c r="AG198" s="51"/>
      <c r="AH198" s="51"/>
      <c r="AI198" s="51"/>
    </row>
    <row r="199" spans="7:35" ht="14.4">
      <c r="G199" s="51"/>
      <c r="I199" s="51"/>
      <c r="Z199" s="52"/>
      <c r="AF199" s="51"/>
      <c r="AG199" s="51"/>
      <c r="AH199" s="51"/>
      <c r="AI199" s="51"/>
    </row>
    <row r="200" spans="7:35" ht="14.4">
      <c r="G200" s="51"/>
      <c r="I200" s="51"/>
      <c r="Z200" s="52"/>
      <c r="AF200" s="51"/>
      <c r="AG200" s="51"/>
      <c r="AH200" s="51"/>
      <c r="AI200" s="51"/>
    </row>
    <row r="201" spans="7:35" ht="14.4">
      <c r="G201" s="51"/>
      <c r="I201" s="51"/>
      <c r="Z201" s="52"/>
      <c r="AF201" s="51"/>
      <c r="AG201" s="51"/>
      <c r="AH201" s="51"/>
      <c r="AI201" s="51"/>
    </row>
    <row r="202" spans="7:35" ht="14.4">
      <c r="G202" s="51"/>
      <c r="I202" s="51"/>
      <c r="Z202" s="52"/>
      <c r="AF202" s="51"/>
      <c r="AG202" s="51"/>
      <c r="AH202" s="51"/>
      <c r="AI202" s="51"/>
    </row>
    <row r="203" spans="7:35" ht="14.4">
      <c r="G203" s="51"/>
      <c r="I203" s="51"/>
      <c r="Z203" s="52"/>
      <c r="AF203" s="51"/>
      <c r="AG203" s="51"/>
      <c r="AH203" s="51"/>
      <c r="AI203" s="51"/>
    </row>
    <row r="204" spans="7:35" ht="14.4">
      <c r="G204" s="51"/>
      <c r="I204" s="51"/>
      <c r="Z204" s="52"/>
      <c r="AF204" s="51"/>
      <c r="AG204" s="51"/>
      <c r="AH204" s="51"/>
      <c r="AI204" s="51"/>
    </row>
    <row r="205" spans="7:35" ht="14.4">
      <c r="G205" s="51"/>
      <c r="I205" s="51"/>
      <c r="Z205" s="52"/>
      <c r="AF205" s="51"/>
      <c r="AG205" s="51"/>
      <c r="AH205" s="51"/>
      <c r="AI205" s="51"/>
    </row>
    <row r="206" spans="7:35" ht="14.4">
      <c r="G206" s="51"/>
      <c r="I206" s="51"/>
      <c r="Z206" s="52"/>
      <c r="AF206" s="51"/>
      <c r="AG206" s="51"/>
      <c r="AH206" s="51"/>
      <c r="AI206" s="51"/>
    </row>
    <row r="207" spans="7:35" ht="14.4">
      <c r="G207" s="51"/>
      <c r="I207" s="51"/>
      <c r="Z207" s="52"/>
      <c r="AF207" s="51"/>
      <c r="AG207" s="51"/>
      <c r="AH207" s="51"/>
      <c r="AI207" s="51"/>
    </row>
    <row r="208" spans="7:35" ht="14.4">
      <c r="G208" s="51"/>
      <c r="I208" s="51"/>
      <c r="Z208" s="52"/>
      <c r="AF208" s="51"/>
      <c r="AG208" s="51"/>
      <c r="AH208" s="51"/>
      <c r="AI208" s="51"/>
    </row>
    <row r="209" spans="7:35" ht="14.4">
      <c r="G209" s="51"/>
      <c r="I209" s="51"/>
      <c r="Z209" s="52"/>
      <c r="AF209" s="51"/>
      <c r="AG209" s="51"/>
      <c r="AH209" s="51"/>
      <c r="AI209" s="51"/>
    </row>
    <row r="210" spans="7:35" ht="14.4">
      <c r="G210" s="51"/>
      <c r="I210" s="51"/>
      <c r="Z210" s="52"/>
      <c r="AF210" s="51"/>
      <c r="AG210" s="51"/>
      <c r="AH210" s="51"/>
      <c r="AI210" s="51"/>
    </row>
    <row r="211" spans="7:35" ht="14.4">
      <c r="G211" s="51"/>
      <c r="I211" s="51"/>
      <c r="Z211" s="52"/>
      <c r="AF211" s="51"/>
      <c r="AG211" s="51"/>
      <c r="AH211" s="51"/>
      <c r="AI211" s="51"/>
    </row>
    <row r="212" spans="7:35" ht="14.4">
      <c r="G212" s="51"/>
      <c r="I212" s="51"/>
      <c r="Z212" s="52"/>
      <c r="AF212" s="51"/>
      <c r="AG212" s="51"/>
      <c r="AH212" s="51"/>
      <c r="AI212" s="51"/>
    </row>
    <row r="213" spans="7:35" ht="14.4">
      <c r="G213" s="51"/>
      <c r="I213" s="51"/>
      <c r="Z213" s="52"/>
      <c r="AF213" s="51"/>
      <c r="AG213" s="51"/>
      <c r="AH213" s="51"/>
      <c r="AI213" s="51"/>
    </row>
    <row r="214" spans="7:35" ht="14.4">
      <c r="G214" s="51"/>
      <c r="I214" s="51"/>
      <c r="Z214" s="52"/>
      <c r="AF214" s="51"/>
      <c r="AG214" s="51"/>
      <c r="AH214" s="51"/>
      <c r="AI214" s="51"/>
    </row>
    <row r="215" spans="7:35" ht="14.4">
      <c r="G215" s="51"/>
      <c r="I215" s="51"/>
      <c r="Z215" s="52"/>
      <c r="AF215" s="51"/>
      <c r="AG215" s="51"/>
      <c r="AH215" s="51"/>
      <c r="AI215" s="51"/>
    </row>
    <row r="216" spans="7:35" ht="14.4">
      <c r="G216" s="51"/>
      <c r="I216" s="51"/>
      <c r="Z216" s="52"/>
      <c r="AF216" s="51"/>
      <c r="AG216" s="51"/>
      <c r="AH216" s="51"/>
      <c r="AI216" s="51"/>
    </row>
    <row r="217" spans="7:35" ht="14.4">
      <c r="G217" s="51"/>
      <c r="I217" s="51"/>
      <c r="Z217" s="52"/>
      <c r="AF217" s="51"/>
      <c r="AG217" s="51"/>
      <c r="AH217" s="51"/>
      <c r="AI217" s="51"/>
    </row>
    <row r="218" spans="7:35" ht="14.4">
      <c r="G218" s="51"/>
      <c r="I218" s="51"/>
      <c r="Z218" s="52"/>
      <c r="AF218" s="51"/>
      <c r="AG218" s="51"/>
      <c r="AH218" s="51"/>
      <c r="AI218" s="51"/>
    </row>
    <row r="219" spans="7:35" ht="14.4">
      <c r="G219" s="51"/>
      <c r="I219" s="51"/>
      <c r="Z219" s="52"/>
      <c r="AF219" s="51"/>
      <c r="AG219" s="51"/>
      <c r="AH219" s="51"/>
      <c r="AI219" s="51"/>
    </row>
    <row r="220" spans="7:35" ht="14.4">
      <c r="G220" s="51"/>
      <c r="I220" s="51"/>
      <c r="Z220" s="52"/>
      <c r="AF220" s="51"/>
      <c r="AG220" s="51"/>
      <c r="AH220" s="51"/>
      <c r="AI220" s="51"/>
    </row>
    <row r="221" spans="7:35" ht="14.4">
      <c r="G221" s="51"/>
      <c r="I221" s="51"/>
      <c r="Z221" s="52"/>
      <c r="AF221" s="51"/>
      <c r="AG221" s="51"/>
      <c r="AH221" s="51"/>
      <c r="AI221" s="51"/>
    </row>
    <row r="222" spans="7:35" ht="14.4">
      <c r="G222" s="51"/>
      <c r="I222" s="51"/>
      <c r="Z222" s="52"/>
      <c r="AF222" s="51"/>
      <c r="AG222" s="51"/>
      <c r="AH222" s="51"/>
      <c r="AI222" s="51"/>
    </row>
    <row r="223" spans="7:35" ht="14.4">
      <c r="G223" s="51"/>
      <c r="I223" s="51"/>
      <c r="Z223" s="52"/>
      <c r="AF223" s="51"/>
      <c r="AG223" s="51"/>
      <c r="AH223" s="51"/>
      <c r="AI223" s="51"/>
    </row>
    <row r="224" spans="7:35" ht="14.4">
      <c r="G224" s="51"/>
      <c r="I224" s="51"/>
      <c r="Z224" s="52"/>
      <c r="AF224" s="51"/>
      <c r="AG224" s="51"/>
      <c r="AH224" s="51"/>
      <c r="AI224" s="51"/>
    </row>
    <row r="225" spans="7:35" ht="14.4">
      <c r="G225" s="51"/>
      <c r="I225" s="51"/>
      <c r="Z225" s="52"/>
      <c r="AF225" s="51"/>
      <c r="AG225" s="51"/>
      <c r="AH225" s="51"/>
      <c r="AI225" s="51"/>
    </row>
    <row r="226" spans="7:35" ht="14.4">
      <c r="G226" s="51"/>
      <c r="I226" s="51"/>
      <c r="Z226" s="52"/>
      <c r="AF226" s="51"/>
      <c r="AG226" s="51"/>
      <c r="AH226" s="51"/>
      <c r="AI226" s="51"/>
    </row>
    <row r="227" spans="7:35" ht="14.4">
      <c r="G227" s="51"/>
      <c r="I227" s="51"/>
      <c r="Z227" s="52"/>
      <c r="AF227" s="51"/>
      <c r="AG227" s="51"/>
      <c r="AH227" s="51"/>
      <c r="AI227" s="51"/>
    </row>
    <row r="228" spans="7:35" ht="14.4">
      <c r="G228" s="51"/>
      <c r="I228" s="51"/>
      <c r="Z228" s="52"/>
      <c r="AF228" s="51"/>
      <c r="AG228" s="51"/>
      <c r="AH228" s="51"/>
      <c r="AI228" s="51"/>
    </row>
    <row r="229" spans="7:35" ht="14.4">
      <c r="G229" s="51"/>
      <c r="I229" s="51"/>
      <c r="Z229" s="52"/>
      <c r="AF229" s="51"/>
      <c r="AG229" s="51"/>
      <c r="AH229" s="51"/>
      <c r="AI229" s="51"/>
    </row>
    <row r="230" spans="7:35" ht="14.4">
      <c r="G230" s="51"/>
      <c r="I230" s="51"/>
      <c r="Z230" s="52"/>
      <c r="AF230" s="51"/>
      <c r="AG230" s="51"/>
      <c r="AH230" s="51"/>
      <c r="AI230" s="51"/>
    </row>
    <row r="231" spans="7:35" ht="14.4">
      <c r="G231" s="51"/>
      <c r="I231" s="51"/>
      <c r="Z231" s="52"/>
      <c r="AF231" s="51"/>
      <c r="AG231" s="51"/>
      <c r="AH231" s="51"/>
      <c r="AI231" s="51"/>
    </row>
    <row r="232" spans="7:35" ht="14.4">
      <c r="G232" s="51"/>
      <c r="I232" s="51"/>
      <c r="Z232" s="52"/>
      <c r="AF232" s="51"/>
      <c r="AG232" s="51"/>
      <c r="AH232" s="51"/>
      <c r="AI232" s="51"/>
    </row>
    <row r="233" spans="7:35" ht="14.4">
      <c r="G233" s="51"/>
      <c r="I233" s="51"/>
      <c r="Z233" s="52"/>
      <c r="AF233" s="51"/>
      <c r="AG233" s="51"/>
      <c r="AH233" s="51"/>
      <c r="AI233" s="51"/>
    </row>
    <row r="234" spans="7:35" ht="14.4">
      <c r="G234" s="51"/>
      <c r="I234" s="51"/>
      <c r="Z234" s="52"/>
      <c r="AF234" s="51"/>
      <c r="AG234" s="51"/>
      <c r="AH234" s="51"/>
      <c r="AI234" s="51"/>
    </row>
    <row r="235" spans="7:35" ht="14.4">
      <c r="G235" s="51"/>
      <c r="I235" s="51"/>
      <c r="Z235" s="52"/>
      <c r="AF235" s="51"/>
      <c r="AG235" s="51"/>
      <c r="AH235" s="51"/>
      <c r="AI235" s="51"/>
    </row>
    <row r="236" spans="7:35" ht="14.4">
      <c r="G236" s="51"/>
      <c r="I236" s="51"/>
      <c r="Z236" s="52"/>
      <c r="AF236" s="51"/>
      <c r="AG236" s="51"/>
      <c r="AH236" s="51"/>
      <c r="AI236" s="51"/>
    </row>
    <row r="237" spans="7:35" ht="14.4">
      <c r="G237" s="51"/>
      <c r="I237" s="51"/>
      <c r="Z237" s="52"/>
      <c r="AF237" s="51"/>
      <c r="AG237" s="51"/>
      <c r="AH237" s="51"/>
      <c r="AI237" s="51"/>
    </row>
    <row r="238" spans="7:35" ht="14.4">
      <c r="G238" s="51"/>
      <c r="I238" s="51"/>
      <c r="Z238" s="52"/>
      <c r="AF238" s="51"/>
      <c r="AG238" s="51"/>
      <c r="AH238" s="51"/>
      <c r="AI238" s="51"/>
    </row>
    <row r="239" spans="7:35" ht="14.4">
      <c r="G239" s="51"/>
      <c r="I239" s="51"/>
      <c r="Z239" s="52"/>
      <c r="AF239" s="51"/>
      <c r="AG239" s="51"/>
      <c r="AH239" s="51"/>
      <c r="AI239" s="51"/>
    </row>
    <row r="240" spans="7:35" ht="14.4">
      <c r="G240" s="51"/>
      <c r="I240" s="51"/>
      <c r="Z240" s="52"/>
      <c r="AF240" s="51"/>
      <c r="AG240" s="51"/>
      <c r="AH240" s="51"/>
      <c r="AI240" s="51"/>
    </row>
    <row r="241" spans="7:35" ht="14.4">
      <c r="G241" s="51"/>
      <c r="I241" s="51"/>
      <c r="Z241" s="52"/>
      <c r="AF241" s="51"/>
      <c r="AG241" s="51"/>
      <c r="AH241" s="51"/>
      <c r="AI241" s="51"/>
    </row>
    <row r="242" spans="7:35" ht="14.4">
      <c r="G242" s="51"/>
      <c r="I242" s="51"/>
      <c r="Z242" s="52"/>
      <c r="AF242" s="51"/>
      <c r="AG242" s="51"/>
      <c r="AH242" s="51"/>
      <c r="AI242" s="51"/>
    </row>
    <row r="243" spans="7:35" ht="14.4">
      <c r="G243" s="51"/>
      <c r="I243" s="51"/>
      <c r="Z243" s="52"/>
      <c r="AF243" s="51"/>
      <c r="AG243" s="51"/>
      <c r="AH243" s="51"/>
      <c r="AI243" s="51"/>
    </row>
    <row r="244" spans="7:35" ht="14.4">
      <c r="G244" s="51"/>
      <c r="I244" s="51"/>
      <c r="Z244" s="52"/>
      <c r="AF244" s="51"/>
      <c r="AG244" s="51"/>
      <c r="AH244" s="51"/>
      <c r="AI244" s="51"/>
    </row>
    <row r="245" spans="7:35" ht="14.4">
      <c r="G245" s="51"/>
      <c r="I245" s="51"/>
      <c r="Z245" s="52"/>
      <c r="AF245" s="51"/>
      <c r="AG245" s="51"/>
      <c r="AH245" s="51"/>
      <c r="AI245" s="51"/>
    </row>
    <row r="246" spans="7:35" ht="14.4">
      <c r="G246" s="51"/>
      <c r="I246" s="51"/>
      <c r="Z246" s="52"/>
      <c r="AF246" s="51"/>
      <c r="AG246" s="51"/>
      <c r="AH246" s="51"/>
      <c r="AI246" s="51"/>
    </row>
    <row r="247" spans="7:35" ht="14.4">
      <c r="G247" s="51"/>
      <c r="I247" s="51"/>
      <c r="Z247" s="52"/>
      <c r="AF247" s="51"/>
      <c r="AG247" s="51"/>
      <c r="AH247" s="51"/>
      <c r="AI247" s="51"/>
    </row>
    <row r="248" spans="7:35" ht="14.4">
      <c r="G248" s="51"/>
      <c r="I248" s="51"/>
      <c r="Z248" s="52"/>
      <c r="AF248" s="51"/>
      <c r="AG248" s="51"/>
      <c r="AH248" s="51"/>
      <c r="AI248" s="51"/>
    </row>
    <row r="249" spans="7:35" ht="14.4">
      <c r="G249" s="51"/>
      <c r="I249" s="51"/>
      <c r="Z249" s="52"/>
      <c r="AF249" s="51"/>
      <c r="AG249" s="51"/>
      <c r="AH249" s="51"/>
      <c r="AI249" s="51"/>
    </row>
    <row r="250" spans="7:35" ht="14.4">
      <c r="G250" s="51"/>
      <c r="I250" s="51"/>
      <c r="Z250" s="52"/>
      <c r="AF250" s="51"/>
      <c r="AG250" s="51"/>
      <c r="AH250" s="51"/>
      <c r="AI250" s="51"/>
    </row>
    <row r="251" spans="7:35" ht="14.4">
      <c r="G251" s="51"/>
      <c r="I251" s="51"/>
      <c r="Z251" s="52"/>
      <c r="AF251" s="51"/>
      <c r="AG251" s="51"/>
      <c r="AH251" s="51"/>
      <c r="AI251" s="51"/>
    </row>
    <row r="252" spans="7:35" ht="14.4">
      <c r="G252" s="51"/>
      <c r="I252" s="51"/>
      <c r="Z252" s="52"/>
      <c r="AF252" s="51"/>
      <c r="AG252" s="51"/>
      <c r="AH252" s="51"/>
      <c r="AI252" s="51"/>
    </row>
    <row r="253" spans="7:35" ht="14.4">
      <c r="G253" s="51"/>
      <c r="I253" s="51"/>
      <c r="Z253" s="52"/>
      <c r="AF253" s="51"/>
      <c r="AG253" s="51"/>
      <c r="AH253" s="51"/>
      <c r="AI253" s="51"/>
    </row>
    <row r="254" spans="7:35" ht="14.4">
      <c r="G254" s="51"/>
      <c r="I254" s="51"/>
      <c r="Z254" s="52"/>
      <c r="AF254" s="51"/>
      <c r="AG254" s="51"/>
      <c r="AH254" s="51"/>
      <c r="AI254" s="51"/>
    </row>
    <row r="255" spans="7:35" ht="14.4">
      <c r="G255" s="51"/>
      <c r="I255" s="51"/>
      <c r="Z255" s="52"/>
      <c r="AF255" s="51"/>
      <c r="AG255" s="51"/>
      <c r="AH255" s="51"/>
      <c r="AI255" s="51"/>
    </row>
    <row r="256" spans="7:35" ht="14.4">
      <c r="G256" s="51"/>
      <c r="I256" s="51"/>
      <c r="Z256" s="52"/>
      <c r="AF256" s="51"/>
      <c r="AG256" s="51"/>
      <c r="AH256" s="51"/>
      <c r="AI256" s="51"/>
    </row>
    <row r="257" spans="7:35" ht="14.4">
      <c r="G257" s="51"/>
      <c r="I257" s="51"/>
      <c r="Z257" s="52"/>
      <c r="AF257" s="51"/>
      <c r="AG257" s="51"/>
      <c r="AH257" s="51"/>
      <c r="AI257" s="51"/>
    </row>
    <row r="258" spans="7:35" ht="14.4">
      <c r="G258" s="51"/>
      <c r="I258" s="51"/>
      <c r="Z258" s="52"/>
      <c r="AF258" s="51"/>
      <c r="AG258" s="51"/>
      <c r="AH258" s="51"/>
      <c r="AI258" s="51"/>
    </row>
    <row r="259" spans="7:35" ht="14.4">
      <c r="G259" s="51"/>
      <c r="I259" s="51"/>
      <c r="Z259" s="52"/>
      <c r="AF259" s="51"/>
      <c r="AG259" s="51"/>
      <c r="AH259" s="51"/>
      <c r="AI259" s="51"/>
    </row>
    <row r="260" spans="7:35" ht="14.4">
      <c r="G260" s="51"/>
      <c r="I260" s="51"/>
      <c r="Z260" s="52"/>
      <c r="AF260" s="51"/>
      <c r="AG260" s="51"/>
      <c r="AH260" s="51"/>
      <c r="AI260" s="51"/>
    </row>
    <row r="261" spans="7:35" ht="14.4">
      <c r="G261" s="51"/>
      <c r="I261" s="51"/>
      <c r="Z261" s="52"/>
      <c r="AF261" s="51"/>
      <c r="AG261" s="51"/>
      <c r="AH261" s="51"/>
      <c r="AI261" s="51"/>
    </row>
    <row r="262" spans="7:35" ht="14.4">
      <c r="G262" s="51"/>
      <c r="I262" s="51"/>
      <c r="Z262" s="52"/>
      <c r="AF262" s="51"/>
      <c r="AG262" s="51"/>
      <c r="AH262" s="51"/>
      <c r="AI262" s="51"/>
    </row>
    <row r="263" spans="7:35" ht="14.4">
      <c r="G263" s="51"/>
      <c r="I263" s="51"/>
      <c r="Z263" s="52"/>
      <c r="AF263" s="51"/>
      <c r="AG263" s="51"/>
      <c r="AH263" s="51"/>
      <c r="AI263" s="51"/>
    </row>
    <row r="264" spans="7:35" ht="14.4">
      <c r="G264" s="51"/>
      <c r="I264" s="51"/>
      <c r="Z264" s="52"/>
      <c r="AF264" s="51"/>
      <c r="AG264" s="51"/>
      <c r="AH264" s="51"/>
      <c r="AI264" s="51"/>
    </row>
    <row r="265" spans="7:35" ht="14.4">
      <c r="G265" s="51"/>
      <c r="I265" s="51"/>
      <c r="Z265" s="52"/>
      <c r="AF265" s="51"/>
      <c r="AG265" s="51"/>
      <c r="AH265" s="51"/>
      <c r="AI265" s="51"/>
    </row>
    <row r="266" spans="7:35" ht="14.4">
      <c r="G266" s="51"/>
      <c r="I266" s="51"/>
      <c r="Z266" s="52"/>
      <c r="AF266" s="51"/>
      <c r="AG266" s="51"/>
      <c r="AH266" s="51"/>
      <c r="AI266" s="51"/>
    </row>
    <row r="267" spans="7:35" ht="14.4">
      <c r="G267" s="51"/>
      <c r="I267" s="51"/>
      <c r="Z267" s="52"/>
      <c r="AF267" s="51"/>
      <c r="AG267" s="51"/>
      <c r="AH267" s="51"/>
      <c r="AI267" s="51"/>
    </row>
    <row r="268" spans="7:35" ht="14.4">
      <c r="G268" s="51"/>
      <c r="I268" s="51"/>
      <c r="Z268" s="52"/>
      <c r="AF268" s="51"/>
      <c r="AG268" s="51"/>
      <c r="AH268" s="51"/>
      <c r="AI268" s="51"/>
    </row>
    <row r="269" spans="7:35" ht="14.4">
      <c r="G269" s="51"/>
      <c r="I269" s="51"/>
      <c r="Z269" s="52"/>
      <c r="AF269" s="51"/>
      <c r="AG269" s="51"/>
      <c r="AH269" s="51"/>
      <c r="AI269" s="51"/>
    </row>
    <row r="270" spans="7:35" ht="14.4">
      <c r="G270" s="51"/>
      <c r="I270" s="51"/>
      <c r="Z270" s="52"/>
      <c r="AF270" s="51"/>
      <c r="AG270" s="51"/>
      <c r="AH270" s="51"/>
      <c r="AI270" s="51"/>
    </row>
    <row r="271" spans="7:35" ht="14.4">
      <c r="G271" s="51"/>
      <c r="I271" s="51"/>
      <c r="Z271" s="52"/>
      <c r="AF271" s="51"/>
      <c r="AG271" s="51"/>
      <c r="AH271" s="51"/>
      <c r="AI271" s="51"/>
    </row>
    <row r="272" spans="7:35" ht="14.4">
      <c r="G272" s="51"/>
      <c r="I272" s="51"/>
      <c r="Z272" s="52"/>
      <c r="AF272" s="51"/>
      <c r="AG272" s="51"/>
      <c r="AH272" s="51"/>
      <c r="AI272" s="51"/>
    </row>
    <row r="273" spans="7:35" ht="14.4">
      <c r="G273" s="51"/>
      <c r="I273" s="51"/>
      <c r="Z273" s="52"/>
      <c r="AF273" s="51"/>
      <c r="AG273" s="51"/>
      <c r="AH273" s="51"/>
      <c r="AI273" s="51"/>
    </row>
    <row r="274" spans="7:35" ht="14.4">
      <c r="G274" s="51"/>
      <c r="I274" s="51"/>
      <c r="Z274" s="52"/>
      <c r="AF274" s="51"/>
      <c r="AG274" s="51"/>
      <c r="AH274" s="51"/>
      <c r="AI274" s="51"/>
    </row>
    <row r="275" spans="7:35" ht="14.4">
      <c r="G275" s="51"/>
      <c r="I275" s="51"/>
      <c r="Z275" s="52"/>
      <c r="AF275" s="51"/>
      <c r="AG275" s="51"/>
      <c r="AH275" s="51"/>
      <c r="AI275" s="51"/>
    </row>
    <row r="276" spans="7:35" ht="14.4">
      <c r="G276" s="51"/>
      <c r="I276" s="51"/>
      <c r="Z276" s="52"/>
      <c r="AF276" s="51"/>
      <c r="AG276" s="51"/>
      <c r="AH276" s="51"/>
      <c r="AI276" s="51"/>
    </row>
    <row r="277" spans="7:35" ht="14.4">
      <c r="G277" s="51"/>
      <c r="I277" s="51"/>
      <c r="Z277" s="52"/>
      <c r="AF277" s="51"/>
      <c r="AG277" s="51"/>
      <c r="AH277" s="51"/>
      <c r="AI277" s="51"/>
    </row>
    <row r="278" spans="7:35" ht="14.4">
      <c r="G278" s="51"/>
      <c r="I278" s="51"/>
      <c r="Z278" s="52"/>
      <c r="AF278" s="51"/>
      <c r="AG278" s="51"/>
      <c r="AH278" s="51"/>
      <c r="AI278" s="51"/>
    </row>
    <row r="279" spans="7:35" ht="14.4">
      <c r="G279" s="51"/>
      <c r="I279" s="51"/>
      <c r="Z279" s="52"/>
      <c r="AF279" s="51"/>
      <c r="AG279" s="51"/>
      <c r="AH279" s="51"/>
      <c r="AI279" s="51"/>
    </row>
    <row r="280" spans="7:35" ht="14.4">
      <c r="G280" s="51"/>
      <c r="I280" s="51"/>
      <c r="Z280" s="52"/>
      <c r="AF280" s="51"/>
      <c r="AG280" s="51"/>
      <c r="AH280" s="51"/>
      <c r="AI280" s="51"/>
    </row>
    <row r="281" spans="7:35" ht="14.4">
      <c r="G281" s="51"/>
      <c r="I281" s="51"/>
      <c r="Z281" s="52"/>
      <c r="AF281" s="51"/>
      <c r="AG281" s="51"/>
      <c r="AH281" s="51"/>
      <c r="AI281" s="51"/>
    </row>
    <row r="282" spans="7:35" ht="14.4">
      <c r="G282" s="51"/>
      <c r="I282" s="51"/>
      <c r="Z282" s="52"/>
      <c r="AF282" s="51"/>
      <c r="AG282" s="51"/>
      <c r="AH282" s="51"/>
      <c r="AI282" s="51"/>
    </row>
    <row r="283" spans="7:35" ht="14.4">
      <c r="G283" s="51"/>
      <c r="I283" s="51"/>
      <c r="Z283" s="52"/>
      <c r="AF283" s="51"/>
      <c r="AG283" s="51"/>
      <c r="AH283" s="51"/>
      <c r="AI283" s="51"/>
    </row>
    <row r="284" spans="7:35" ht="14.4">
      <c r="G284" s="51"/>
      <c r="I284" s="51"/>
      <c r="Z284" s="52"/>
      <c r="AF284" s="51"/>
      <c r="AG284" s="51"/>
      <c r="AH284" s="51"/>
      <c r="AI284" s="51"/>
    </row>
    <row r="285" spans="7:35" ht="14.4">
      <c r="G285" s="51"/>
      <c r="I285" s="51"/>
      <c r="Z285" s="52"/>
      <c r="AF285" s="51"/>
      <c r="AG285" s="51"/>
      <c r="AH285" s="51"/>
      <c r="AI285" s="51"/>
    </row>
    <row r="286" spans="7:35" ht="14.4">
      <c r="G286" s="51"/>
      <c r="I286" s="51"/>
      <c r="Z286" s="52"/>
      <c r="AF286" s="51"/>
      <c r="AG286" s="51"/>
      <c r="AH286" s="51"/>
      <c r="AI286" s="51"/>
    </row>
    <row r="287" spans="7:35" ht="14.4">
      <c r="G287" s="51"/>
      <c r="I287" s="51"/>
      <c r="Z287" s="52"/>
      <c r="AF287" s="51"/>
      <c r="AG287" s="51"/>
      <c r="AH287" s="51"/>
      <c r="AI287" s="51"/>
    </row>
    <row r="288" spans="7:35" ht="14.4">
      <c r="G288" s="51"/>
      <c r="I288" s="51"/>
      <c r="Z288" s="52"/>
      <c r="AF288" s="51"/>
      <c r="AG288" s="51"/>
      <c r="AH288" s="51"/>
      <c r="AI288" s="51"/>
    </row>
    <row r="289" spans="7:35" ht="14.4">
      <c r="G289" s="51"/>
      <c r="I289" s="51"/>
      <c r="Z289" s="52"/>
      <c r="AF289" s="51"/>
      <c r="AG289" s="51"/>
      <c r="AH289" s="51"/>
      <c r="AI289" s="51"/>
    </row>
    <row r="290" spans="7:35" ht="14.4">
      <c r="G290" s="51"/>
      <c r="I290" s="51"/>
      <c r="Z290" s="52"/>
      <c r="AF290" s="51"/>
      <c r="AG290" s="51"/>
      <c r="AH290" s="51"/>
      <c r="AI290" s="51"/>
    </row>
    <row r="291" spans="7:35" ht="14.4">
      <c r="G291" s="51"/>
      <c r="I291" s="51"/>
      <c r="Z291" s="52"/>
      <c r="AF291" s="51"/>
      <c r="AG291" s="51"/>
      <c r="AH291" s="51"/>
      <c r="AI291" s="51"/>
    </row>
    <row r="292" spans="7:35" ht="14.4">
      <c r="G292" s="51"/>
      <c r="I292" s="51"/>
      <c r="Z292" s="52"/>
      <c r="AF292" s="51"/>
      <c r="AG292" s="51"/>
      <c r="AH292" s="51"/>
      <c r="AI292" s="51"/>
    </row>
    <row r="293" spans="7:35" ht="14.4">
      <c r="G293" s="51"/>
      <c r="I293" s="51"/>
      <c r="Z293" s="52"/>
      <c r="AF293" s="51"/>
      <c r="AG293" s="51"/>
      <c r="AH293" s="51"/>
      <c r="AI293" s="51"/>
    </row>
    <row r="294" spans="7:35" ht="14.4">
      <c r="G294" s="51"/>
      <c r="I294" s="51"/>
      <c r="Z294" s="52"/>
      <c r="AF294" s="51"/>
      <c r="AG294" s="51"/>
      <c r="AH294" s="51"/>
      <c r="AI294" s="51"/>
    </row>
    <row r="295" spans="7:35" ht="14.4">
      <c r="G295" s="51"/>
      <c r="I295" s="51"/>
      <c r="Z295" s="52"/>
      <c r="AF295" s="51"/>
      <c r="AG295" s="51"/>
      <c r="AH295" s="51"/>
      <c r="AI295" s="51"/>
    </row>
    <row r="296" spans="7:35" ht="14.4">
      <c r="G296" s="51"/>
      <c r="I296" s="51"/>
      <c r="Z296" s="52"/>
      <c r="AF296" s="51"/>
      <c r="AG296" s="51"/>
      <c r="AH296" s="51"/>
      <c r="AI296" s="51"/>
    </row>
    <row r="297" spans="7:35" ht="14.4">
      <c r="G297" s="51"/>
      <c r="I297" s="51"/>
      <c r="Z297" s="52"/>
      <c r="AF297" s="51"/>
      <c r="AG297" s="51"/>
      <c r="AH297" s="51"/>
      <c r="AI297" s="51"/>
    </row>
    <row r="298" spans="7:35" ht="14.4">
      <c r="G298" s="51"/>
      <c r="I298" s="51"/>
      <c r="Z298" s="52"/>
      <c r="AF298" s="51"/>
      <c r="AG298" s="51"/>
      <c r="AH298" s="51"/>
      <c r="AI298" s="51"/>
    </row>
    <row r="299" spans="7:35" ht="14.4">
      <c r="G299" s="51"/>
      <c r="I299" s="51"/>
      <c r="Z299" s="52"/>
      <c r="AF299" s="51"/>
      <c r="AG299" s="51"/>
      <c r="AH299" s="51"/>
      <c r="AI299" s="51"/>
    </row>
    <row r="300" spans="7:35" ht="14.4">
      <c r="G300" s="51"/>
      <c r="I300" s="51"/>
      <c r="Z300" s="52"/>
      <c r="AF300" s="51"/>
      <c r="AG300" s="51"/>
      <c r="AH300" s="51"/>
      <c r="AI300" s="51"/>
    </row>
    <row r="301" spans="7:35" ht="14.4">
      <c r="G301" s="51"/>
      <c r="I301" s="51"/>
      <c r="Z301" s="52"/>
      <c r="AF301" s="51"/>
      <c r="AG301" s="51"/>
      <c r="AH301" s="51"/>
      <c r="AI301" s="51"/>
    </row>
    <row r="302" spans="7:35" ht="14.4">
      <c r="G302" s="51"/>
      <c r="I302" s="51"/>
      <c r="Z302" s="52"/>
      <c r="AF302" s="51"/>
      <c r="AG302" s="51"/>
      <c r="AH302" s="51"/>
      <c r="AI302" s="51"/>
    </row>
    <row r="303" spans="7:35" ht="14.4">
      <c r="G303" s="51"/>
      <c r="I303" s="51"/>
      <c r="Z303" s="52"/>
      <c r="AF303" s="51"/>
      <c r="AG303" s="51"/>
      <c r="AH303" s="51"/>
      <c r="AI303" s="51"/>
    </row>
    <row r="304" spans="7:35" ht="14.4">
      <c r="G304" s="51"/>
      <c r="I304" s="51"/>
      <c r="Z304" s="52"/>
      <c r="AF304" s="51"/>
      <c r="AG304" s="51"/>
      <c r="AH304" s="51"/>
      <c r="AI304" s="51"/>
    </row>
    <row r="305" spans="7:35" ht="14.4">
      <c r="G305" s="51"/>
      <c r="I305" s="51"/>
      <c r="Z305" s="52"/>
      <c r="AF305" s="51"/>
      <c r="AG305" s="51"/>
      <c r="AH305" s="51"/>
      <c r="AI305" s="51"/>
    </row>
    <row r="306" spans="7:35" ht="14.4">
      <c r="G306" s="51"/>
      <c r="I306" s="51"/>
      <c r="Z306" s="52"/>
      <c r="AF306" s="51"/>
      <c r="AG306" s="51"/>
      <c r="AH306" s="51"/>
      <c r="AI306" s="51"/>
    </row>
    <row r="307" spans="7:35" ht="14.4">
      <c r="G307" s="51"/>
      <c r="I307" s="51"/>
      <c r="Z307" s="52"/>
      <c r="AF307" s="51"/>
      <c r="AG307" s="51"/>
      <c r="AH307" s="51"/>
      <c r="AI307" s="51"/>
    </row>
    <row r="308" spans="7:35" ht="14.4">
      <c r="G308" s="51"/>
      <c r="I308" s="51"/>
      <c r="Z308" s="52"/>
      <c r="AF308" s="51"/>
      <c r="AG308" s="51"/>
      <c r="AH308" s="51"/>
      <c r="AI308" s="51"/>
    </row>
    <row r="309" spans="7:35" ht="14.4">
      <c r="G309" s="51"/>
      <c r="I309" s="51"/>
      <c r="Z309" s="52"/>
      <c r="AF309" s="51"/>
      <c r="AG309" s="51"/>
      <c r="AH309" s="51"/>
      <c r="AI309" s="51"/>
    </row>
    <row r="310" spans="7:35" ht="14.4">
      <c r="G310" s="51"/>
      <c r="I310" s="51"/>
      <c r="Z310" s="52"/>
      <c r="AF310" s="51"/>
      <c r="AG310" s="51"/>
      <c r="AH310" s="51"/>
      <c r="AI310" s="51"/>
    </row>
    <row r="311" spans="7:35" ht="14.4">
      <c r="G311" s="51"/>
      <c r="I311" s="51"/>
      <c r="Z311" s="52"/>
      <c r="AF311" s="51"/>
      <c r="AG311" s="51"/>
      <c r="AH311" s="51"/>
      <c r="AI311" s="51"/>
    </row>
    <row r="312" spans="7:35" ht="14.4">
      <c r="G312" s="51"/>
      <c r="I312" s="51"/>
      <c r="Z312" s="52"/>
      <c r="AF312" s="51"/>
      <c r="AG312" s="51"/>
      <c r="AH312" s="51"/>
      <c r="AI312" s="51"/>
    </row>
    <row r="313" spans="7:35" ht="14.4">
      <c r="G313" s="51"/>
      <c r="I313" s="51"/>
      <c r="Z313" s="52"/>
      <c r="AF313" s="51"/>
      <c r="AG313" s="51"/>
      <c r="AH313" s="51"/>
      <c r="AI313" s="51"/>
    </row>
    <row r="314" spans="7:35" ht="14.4">
      <c r="G314" s="51"/>
      <c r="I314" s="51"/>
      <c r="Z314" s="52"/>
      <c r="AF314" s="51"/>
      <c r="AG314" s="51"/>
      <c r="AH314" s="51"/>
      <c r="AI314" s="51"/>
    </row>
    <row r="315" spans="7:35" ht="14.4">
      <c r="G315" s="51"/>
      <c r="I315" s="51"/>
      <c r="Z315" s="52"/>
      <c r="AF315" s="51"/>
      <c r="AG315" s="51"/>
      <c r="AH315" s="51"/>
      <c r="AI315" s="51"/>
    </row>
    <row r="316" spans="7:35" ht="14.4">
      <c r="G316" s="51"/>
      <c r="I316" s="51"/>
      <c r="Z316" s="52"/>
      <c r="AF316" s="51"/>
      <c r="AG316" s="51"/>
      <c r="AH316" s="51"/>
      <c r="AI316" s="51"/>
    </row>
    <row r="317" spans="7:35" ht="14.4">
      <c r="G317" s="51"/>
      <c r="I317" s="51"/>
      <c r="Z317" s="52"/>
      <c r="AF317" s="51"/>
      <c r="AG317" s="51"/>
      <c r="AH317" s="51"/>
      <c r="AI317" s="51"/>
    </row>
    <row r="318" spans="7:35" ht="14.4">
      <c r="G318" s="51"/>
      <c r="I318" s="51"/>
      <c r="Z318" s="52"/>
      <c r="AF318" s="51"/>
      <c r="AG318" s="51"/>
      <c r="AH318" s="51"/>
      <c r="AI318" s="51"/>
    </row>
    <row r="319" spans="7:35" ht="14.4">
      <c r="G319" s="51"/>
      <c r="I319" s="51"/>
      <c r="Z319" s="52"/>
      <c r="AF319" s="51"/>
      <c r="AG319" s="51"/>
      <c r="AH319" s="51"/>
      <c r="AI319" s="51"/>
    </row>
    <row r="320" spans="7:35" ht="14.4">
      <c r="G320" s="51"/>
      <c r="I320" s="51"/>
      <c r="Z320" s="52"/>
      <c r="AF320" s="51"/>
      <c r="AG320" s="51"/>
      <c r="AH320" s="51"/>
      <c r="AI320" s="51"/>
    </row>
    <row r="321" spans="7:35" ht="14.4">
      <c r="G321" s="51"/>
      <c r="I321" s="51"/>
      <c r="Z321" s="52"/>
      <c r="AF321" s="51"/>
      <c r="AG321" s="51"/>
      <c r="AH321" s="51"/>
      <c r="AI321" s="51"/>
    </row>
    <row r="322" spans="7:35" ht="14.4">
      <c r="G322" s="51"/>
      <c r="I322" s="51"/>
      <c r="Z322" s="52"/>
      <c r="AF322" s="51"/>
      <c r="AG322" s="51"/>
      <c r="AH322" s="51"/>
      <c r="AI322" s="51"/>
    </row>
    <row r="323" spans="7:35" ht="14.4">
      <c r="G323" s="51"/>
      <c r="I323" s="51"/>
      <c r="Z323" s="52"/>
      <c r="AF323" s="51"/>
      <c r="AG323" s="51"/>
      <c r="AH323" s="51"/>
      <c r="AI323" s="51"/>
    </row>
    <row r="324" spans="7:35" ht="14.4">
      <c r="G324" s="51"/>
      <c r="I324" s="51"/>
      <c r="Z324" s="52"/>
      <c r="AF324" s="51"/>
      <c r="AG324" s="51"/>
      <c r="AH324" s="51"/>
      <c r="AI324" s="51"/>
    </row>
    <row r="325" spans="7:35" ht="14.4">
      <c r="G325" s="51"/>
      <c r="I325" s="51"/>
      <c r="Z325" s="52"/>
      <c r="AF325" s="51"/>
      <c r="AG325" s="51"/>
      <c r="AH325" s="51"/>
      <c r="AI325" s="51"/>
    </row>
    <row r="326" spans="7:35" ht="14.4">
      <c r="G326" s="51"/>
      <c r="I326" s="51"/>
      <c r="Z326" s="52"/>
      <c r="AF326" s="51"/>
      <c r="AG326" s="51"/>
      <c r="AH326" s="51"/>
      <c r="AI326" s="51"/>
    </row>
    <row r="327" spans="7:35" ht="14.4">
      <c r="G327" s="51"/>
      <c r="I327" s="51"/>
      <c r="Z327" s="52"/>
      <c r="AF327" s="51"/>
      <c r="AG327" s="51"/>
      <c r="AH327" s="51"/>
      <c r="AI327" s="51"/>
    </row>
    <row r="328" spans="7:35" ht="14.4">
      <c r="G328" s="51"/>
      <c r="I328" s="51"/>
      <c r="Z328" s="52"/>
      <c r="AF328" s="51"/>
      <c r="AG328" s="51"/>
      <c r="AH328" s="51"/>
      <c r="AI328" s="51"/>
    </row>
    <row r="329" spans="7:35" ht="14.4">
      <c r="G329" s="51"/>
      <c r="I329" s="51"/>
      <c r="Z329" s="52"/>
      <c r="AF329" s="51"/>
      <c r="AG329" s="51"/>
      <c r="AH329" s="51"/>
      <c r="AI329" s="51"/>
    </row>
    <row r="330" spans="7:35" ht="14.4">
      <c r="G330" s="51"/>
      <c r="I330" s="51"/>
      <c r="Z330" s="52"/>
      <c r="AF330" s="51"/>
      <c r="AG330" s="51"/>
      <c r="AH330" s="51"/>
      <c r="AI330" s="51"/>
    </row>
    <row r="331" spans="7:35" ht="14.4">
      <c r="G331" s="51"/>
      <c r="I331" s="51"/>
      <c r="Z331" s="52"/>
      <c r="AF331" s="51"/>
      <c r="AG331" s="51"/>
      <c r="AH331" s="51"/>
      <c r="AI331" s="51"/>
    </row>
    <row r="332" spans="7:35" ht="14.4">
      <c r="G332" s="51"/>
      <c r="I332" s="51"/>
      <c r="Z332" s="52"/>
      <c r="AF332" s="51"/>
      <c r="AG332" s="51"/>
      <c r="AH332" s="51"/>
      <c r="AI332" s="51"/>
    </row>
    <row r="333" spans="7:35" ht="14.4">
      <c r="G333" s="51"/>
      <c r="I333" s="51"/>
      <c r="Z333" s="52"/>
      <c r="AF333" s="51"/>
      <c r="AG333" s="51"/>
      <c r="AH333" s="51"/>
      <c r="AI333" s="51"/>
    </row>
    <row r="334" spans="7:35" ht="14.4">
      <c r="G334" s="51"/>
      <c r="I334" s="51"/>
      <c r="Z334" s="52"/>
      <c r="AF334" s="51"/>
      <c r="AG334" s="51"/>
      <c r="AH334" s="51"/>
      <c r="AI334" s="51"/>
    </row>
    <row r="335" spans="7:35" ht="14.4">
      <c r="G335" s="51"/>
      <c r="I335" s="51"/>
      <c r="Z335" s="52"/>
      <c r="AF335" s="51"/>
      <c r="AG335" s="51"/>
      <c r="AH335" s="51"/>
      <c r="AI335" s="51"/>
    </row>
    <row r="336" spans="7:35" ht="14.4">
      <c r="G336" s="51"/>
      <c r="I336" s="51"/>
      <c r="Z336" s="52"/>
      <c r="AF336" s="51"/>
      <c r="AG336" s="51"/>
      <c r="AH336" s="51"/>
      <c r="AI336" s="51"/>
    </row>
    <row r="337" spans="7:35" ht="14.4">
      <c r="G337" s="51"/>
      <c r="I337" s="51"/>
      <c r="Z337" s="52"/>
      <c r="AF337" s="51"/>
      <c r="AG337" s="51"/>
      <c r="AH337" s="51"/>
      <c r="AI337" s="51"/>
    </row>
    <row r="338" spans="7:35" ht="14.4">
      <c r="G338" s="51"/>
      <c r="I338" s="51"/>
      <c r="Z338" s="52"/>
      <c r="AF338" s="51"/>
      <c r="AG338" s="51"/>
      <c r="AH338" s="51"/>
      <c r="AI338" s="51"/>
    </row>
    <row r="339" spans="7:35" ht="14.4">
      <c r="G339" s="51"/>
      <c r="I339" s="51"/>
      <c r="Z339" s="52"/>
      <c r="AF339" s="51"/>
      <c r="AG339" s="51"/>
      <c r="AH339" s="51"/>
      <c r="AI339" s="51"/>
    </row>
    <row r="340" spans="7:35" ht="14.4">
      <c r="G340" s="51"/>
      <c r="I340" s="51"/>
      <c r="Z340" s="52"/>
      <c r="AF340" s="51"/>
      <c r="AG340" s="51"/>
      <c r="AH340" s="51"/>
      <c r="AI340" s="51"/>
    </row>
    <row r="341" spans="7:35" ht="14.4">
      <c r="G341" s="51"/>
      <c r="I341" s="51"/>
      <c r="Z341" s="52"/>
      <c r="AF341" s="51"/>
      <c r="AG341" s="51"/>
      <c r="AH341" s="51"/>
      <c r="AI341" s="51"/>
    </row>
    <row r="342" spans="7:35" ht="14.4">
      <c r="G342" s="51"/>
      <c r="I342" s="51"/>
      <c r="Z342" s="52"/>
      <c r="AF342" s="51"/>
      <c r="AG342" s="51"/>
      <c r="AH342" s="51"/>
      <c r="AI342" s="51"/>
    </row>
    <row r="343" spans="7:35" ht="14.4">
      <c r="G343" s="51"/>
      <c r="I343" s="51"/>
      <c r="Z343" s="52"/>
      <c r="AF343" s="51"/>
      <c r="AG343" s="51"/>
      <c r="AH343" s="51"/>
      <c r="AI343" s="51"/>
    </row>
    <row r="344" spans="7:35" ht="14.4">
      <c r="G344" s="51"/>
      <c r="I344" s="51"/>
      <c r="Z344" s="52"/>
      <c r="AF344" s="51"/>
      <c r="AG344" s="51"/>
      <c r="AH344" s="51"/>
      <c r="AI344" s="51"/>
    </row>
    <row r="345" spans="7:35" ht="14.4">
      <c r="G345" s="51"/>
      <c r="I345" s="51"/>
      <c r="Z345" s="52"/>
      <c r="AF345" s="51"/>
      <c r="AG345" s="51"/>
      <c r="AH345" s="51"/>
      <c r="AI345" s="51"/>
    </row>
    <row r="346" spans="7:35" ht="14.4">
      <c r="G346" s="51"/>
      <c r="I346" s="51"/>
      <c r="Z346" s="52"/>
      <c r="AF346" s="51"/>
      <c r="AG346" s="51"/>
      <c r="AH346" s="51"/>
      <c r="AI346" s="51"/>
    </row>
    <row r="347" spans="7:35" ht="14.4">
      <c r="G347" s="51"/>
      <c r="I347" s="51"/>
      <c r="Z347" s="52"/>
      <c r="AF347" s="51"/>
      <c r="AG347" s="51"/>
      <c r="AH347" s="51"/>
      <c r="AI347" s="51"/>
    </row>
    <row r="348" spans="7:35" ht="14.4">
      <c r="G348" s="51"/>
      <c r="I348" s="51"/>
      <c r="Z348" s="52"/>
      <c r="AF348" s="51"/>
      <c r="AG348" s="51"/>
      <c r="AH348" s="51"/>
      <c r="AI348" s="51"/>
    </row>
    <row r="349" spans="7:35" ht="14.4">
      <c r="G349" s="51"/>
      <c r="I349" s="51"/>
      <c r="Z349" s="52"/>
      <c r="AF349" s="51"/>
      <c r="AG349" s="51"/>
      <c r="AH349" s="51"/>
      <c r="AI349" s="51"/>
    </row>
    <row r="350" spans="7:35" ht="14.4">
      <c r="G350" s="51"/>
      <c r="I350" s="51"/>
      <c r="Z350" s="52"/>
      <c r="AF350" s="51"/>
      <c r="AG350" s="51"/>
      <c r="AH350" s="51"/>
      <c r="AI350" s="51"/>
    </row>
    <row r="351" spans="7:35" ht="14.4">
      <c r="G351" s="51"/>
      <c r="I351" s="51"/>
      <c r="Z351" s="52"/>
      <c r="AF351" s="51"/>
      <c r="AG351" s="51"/>
      <c r="AH351" s="51"/>
      <c r="AI351" s="51"/>
    </row>
    <row r="352" spans="7:35" ht="14.4">
      <c r="G352" s="51"/>
      <c r="I352" s="51"/>
      <c r="Z352" s="52"/>
      <c r="AF352" s="51"/>
      <c r="AG352" s="51"/>
      <c r="AH352" s="51"/>
      <c r="AI352" s="51"/>
    </row>
    <row r="353" spans="7:35" ht="14.4">
      <c r="G353" s="51"/>
      <c r="I353" s="51"/>
      <c r="Z353" s="52"/>
      <c r="AF353" s="51"/>
      <c r="AG353" s="51"/>
      <c r="AH353" s="51"/>
      <c r="AI353" s="51"/>
    </row>
    <row r="354" spans="7:35" ht="14.4">
      <c r="G354" s="51"/>
      <c r="I354" s="51"/>
      <c r="Z354" s="52"/>
      <c r="AF354" s="51"/>
      <c r="AG354" s="51"/>
      <c r="AH354" s="51"/>
      <c r="AI354" s="51"/>
    </row>
    <row r="355" spans="7:35" ht="14.4">
      <c r="G355" s="51"/>
      <c r="I355" s="51"/>
      <c r="Z355" s="52"/>
      <c r="AF355" s="51"/>
      <c r="AG355" s="51"/>
      <c r="AH355" s="51"/>
      <c r="AI355" s="51"/>
    </row>
    <row r="356" spans="7:35" ht="14.4">
      <c r="G356" s="51"/>
      <c r="I356" s="51"/>
      <c r="Z356" s="52"/>
      <c r="AF356" s="51"/>
      <c r="AG356" s="51"/>
      <c r="AH356" s="51"/>
      <c r="AI356" s="51"/>
    </row>
    <row r="357" spans="7:35" ht="14.4">
      <c r="G357" s="51"/>
      <c r="I357" s="51"/>
      <c r="Z357" s="52"/>
      <c r="AF357" s="51"/>
      <c r="AG357" s="51"/>
      <c r="AH357" s="51"/>
      <c r="AI357" s="51"/>
    </row>
    <row r="358" spans="7:35" ht="14.4">
      <c r="G358" s="51"/>
      <c r="I358" s="51"/>
      <c r="Z358" s="52"/>
      <c r="AF358" s="51"/>
      <c r="AG358" s="51"/>
      <c r="AH358" s="51"/>
      <c r="AI358" s="51"/>
    </row>
    <row r="359" spans="7:35" ht="14.4">
      <c r="G359" s="51"/>
      <c r="I359" s="51"/>
      <c r="Z359" s="52"/>
      <c r="AF359" s="51"/>
      <c r="AG359" s="51"/>
      <c r="AH359" s="51"/>
      <c r="AI359" s="51"/>
    </row>
    <row r="360" spans="7:35" ht="14.4">
      <c r="G360" s="51"/>
      <c r="I360" s="51"/>
      <c r="Z360" s="52"/>
      <c r="AF360" s="51"/>
      <c r="AG360" s="51"/>
      <c r="AH360" s="51"/>
      <c r="AI360" s="51"/>
    </row>
    <row r="361" spans="7:35" ht="14.4">
      <c r="G361" s="51"/>
      <c r="I361" s="51"/>
      <c r="Z361" s="52"/>
      <c r="AF361" s="51"/>
      <c r="AG361" s="51"/>
      <c r="AH361" s="51"/>
      <c r="AI361" s="51"/>
    </row>
    <row r="362" spans="7:35" ht="14.4">
      <c r="G362" s="51"/>
      <c r="I362" s="51"/>
      <c r="Z362" s="52"/>
      <c r="AF362" s="51"/>
      <c r="AG362" s="51"/>
      <c r="AH362" s="51"/>
      <c r="AI362" s="51"/>
    </row>
    <row r="363" spans="7:35" ht="14.4">
      <c r="G363" s="51"/>
      <c r="I363" s="51"/>
      <c r="Z363" s="52"/>
      <c r="AF363" s="51"/>
      <c r="AG363" s="51"/>
      <c r="AH363" s="51"/>
      <c r="AI363" s="51"/>
    </row>
    <row r="364" spans="7:35" ht="14.4">
      <c r="G364" s="51"/>
      <c r="I364" s="51"/>
      <c r="Z364" s="52"/>
      <c r="AF364" s="51"/>
      <c r="AG364" s="51"/>
      <c r="AH364" s="51"/>
      <c r="AI364" s="51"/>
    </row>
    <row r="365" spans="7:35" ht="14.4">
      <c r="G365" s="51"/>
      <c r="I365" s="51"/>
      <c r="Z365" s="52"/>
      <c r="AF365" s="51"/>
      <c r="AG365" s="51"/>
      <c r="AH365" s="51"/>
      <c r="AI365" s="51"/>
    </row>
    <row r="366" spans="7:35" ht="14.4">
      <c r="G366" s="51"/>
      <c r="I366" s="51"/>
      <c r="Z366" s="52"/>
      <c r="AF366" s="51"/>
      <c r="AG366" s="51"/>
      <c r="AH366" s="51"/>
      <c r="AI366" s="51"/>
    </row>
    <row r="367" spans="7:35" ht="14.4">
      <c r="G367" s="51"/>
      <c r="I367" s="51"/>
      <c r="Z367" s="52"/>
      <c r="AF367" s="51"/>
      <c r="AG367" s="51"/>
      <c r="AH367" s="51"/>
      <c r="AI367" s="51"/>
    </row>
    <row r="368" spans="7:35" ht="14.4">
      <c r="G368" s="51"/>
      <c r="I368" s="51"/>
      <c r="Z368" s="52"/>
      <c r="AF368" s="51"/>
      <c r="AG368" s="51"/>
      <c r="AH368" s="51"/>
      <c r="AI368" s="51"/>
    </row>
    <row r="369" spans="7:35" ht="14.4">
      <c r="G369" s="51"/>
      <c r="I369" s="51"/>
      <c r="Z369" s="52"/>
      <c r="AF369" s="51"/>
      <c r="AG369" s="51"/>
      <c r="AH369" s="51"/>
      <c r="AI369" s="51"/>
    </row>
    <row r="370" spans="7:35" ht="14.4">
      <c r="G370" s="51"/>
      <c r="I370" s="51"/>
      <c r="Z370" s="52"/>
      <c r="AF370" s="51"/>
      <c r="AG370" s="51"/>
      <c r="AH370" s="51"/>
      <c r="AI370" s="51"/>
    </row>
    <row r="371" spans="7:35" ht="14.4">
      <c r="G371" s="51"/>
      <c r="I371" s="51"/>
      <c r="Z371" s="52"/>
      <c r="AF371" s="51"/>
      <c r="AG371" s="51"/>
      <c r="AH371" s="51"/>
      <c r="AI371" s="51"/>
    </row>
    <row r="372" spans="7:35" ht="14.4">
      <c r="G372" s="51"/>
      <c r="I372" s="51"/>
      <c r="Z372" s="52"/>
      <c r="AF372" s="51"/>
      <c r="AG372" s="51"/>
      <c r="AH372" s="51"/>
      <c r="AI372" s="51"/>
    </row>
    <row r="373" spans="7:35" ht="14.4">
      <c r="G373" s="51"/>
      <c r="I373" s="51"/>
      <c r="Z373" s="52"/>
      <c r="AF373" s="51"/>
      <c r="AG373" s="51"/>
      <c r="AH373" s="51"/>
      <c r="AI373" s="51"/>
    </row>
    <row r="374" spans="7:35" ht="14.4">
      <c r="G374" s="51"/>
      <c r="I374" s="51"/>
      <c r="Z374" s="52"/>
      <c r="AF374" s="51"/>
      <c r="AG374" s="51"/>
      <c r="AH374" s="51"/>
      <c r="AI374" s="51"/>
    </row>
    <row r="375" spans="7:35" ht="14.4">
      <c r="G375" s="51"/>
      <c r="I375" s="51"/>
      <c r="Z375" s="52"/>
      <c r="AF375" s="51"/>
      <c r="AG375" s="51"/>
      <c r="AH375" s="51"/>
      <c r="AI375" s="51"/>
    </row>
    <row r="376" spans="7:35" ht="14.4">
      <c r="G376" s="51"/>
      <c r="I376" s="51"/>
      <c r="Z376" s="52"/>
      <c r="AF376" s="51"/>
      <c r="AG376" s="51"/>
      <c r="AH376" s="51"/>
      <c r="AI376" s="51"/>
    </row>
    <row r="377" spans="7:35" ht="14.4">
      <c r="G377" s="51"/>
      <c r="I377" s="51"/>
      <c r="Z377" s="52"/>
      <c r="AF377" s="51"/>
      <c r="AG377" s="51"/>
      <c r="AH377" s="51"/>
      <c r="AI377" s="51"/>
    </row>
    <row r="378" spans="7:35" ht="14.4">
      <c r="G378" s="51"/>
      <c r="I378" s="51"/>
      <c r="Z378" s="52"/>
      <c r="AF378" s="51"/>
      <c r="AG378" s="51"/>
      <c r="AH378" s="51"/>
      <c r="AI378" s="51"/>
    </row>
    <row r="379" spans="7:35" ht="14.4">
      <c r="G379" s="51"/>
      <c r="I379" s="51"/>
      <c r="Z379" s="52"/>
      <c r="AF379" s="51"/>
      <c r="AG379" s="51"/>
      <c r="AH379" s="51"/>
      <c r="AI379" s="51"/>
    </row>
    <row r="380" spans="7:35" ht="14.4">
      <c r="G380" s="51"/>
      <c r="I380" s="51"/>
      <c r="Z380" s="52"/>
      <c r="AF380" s="51"/>
      <c r="AG380" s="51"/>
      <c r="AH380" s="51"/>
      <c r="AI380" s="51"/>
    </row>
    <row r="381" spans="7:35" ht="14.4">
      <c r="G381" s="51"/>
      <c r="I381" s="51"/>
      <c r="Z381" s="52"/>
      <c r="AF381" s="51"/>
      <c r="AG381" s="51"/>
      <c r="AH381" s="51"/>
      <c r="AI381" s="51"/>
    </row>
    <row r="382" spans="7:35" ht="14.4">
      <c r="G382" s="51"/>
      <c r="I382" s="51"/>
      <c r="Z382" s="52"/>
      <c r="AF382" s="51"/>
      <c r="AG382" s="51"/>
      <c r="AH382" s="51"/>
      <c r="AI382" s="51"/>
    </row>
    <row r="383" spans="7:35" ht="14.4">
      <c r="G383" s="51"/>
      <c r="I383" s="51"/>
      <c r="Z383" s="52"/>
      <c r="AF383" s="51"/>
      <c r="AG383" s="51"/>
      <c r="AH383" s="51"/>
      <c r="AI383" s="51"/>
    </row>
    <row r="384" spans="7:35" ht="14.4">
      <c r="G384" s="51"/>
      <c r="I384" s="51"/>
      <c r="Z384" s="52"/>
      <c r="AF384" s="51"/>
      <c r="AG384" s="51"/>
      <c r="AH384" s="51"/>
      <c r="AI384" s="51"/>
    </row>
    <row r="385" spans="7:35" ht="14.4">
      <c r="G385" s="51"/>
      <c r="I385" s="51"/>
      <c r="Z385" s="52"/>
      <c r="AF385" s="51"/>
      <c r="AG385" s="51"/>
      <c r="AH385" s="51"/>
      <c r="AI385" s="51"/>
    </row>
    <row r="386" spans="7:35" ht="14.4">
      <c r="G386" s="51"/>
      <c r="I386" s="51"/>
      <c r="Z386" s="52"/>
      <c r="AF386" s="51"/>
      <c r="AG386" s="51"/>
      <c r="AH386" s="51"/>
      <c r="AI386" s="51"/>
    </row>
    <row r="387" spans="7:35" ht="14.4">
      <c r="G387" s="51"/>
      <c r="I387" s="51"/>
      <c r="Z387" s="52"/>
      <c r="AF387" s="51"/>
      <c r="AG387" s="51"/>
      <c r="AH387" s="51"/>
      <c r="AI387" s="51"/>
    </row>
    <row r="388" spans="7:35" ht="14.4">
      <c r="G388" s="51"/>
      <c r="I388" s="51"/>
      <c r="Z388" s="52"/>
      <c r="AF388" s="51"/>
      <c r="AG388" s="51"/>
      <c r="AH388" s="51"/>
      <c r="AI388" s="51"/>
    </row>
    <row r="389" spans="7:35" ht="14.4">
      <c r="G389" s="51"/>
      <c r="I389" s="51"/>
      <c r="Z389" s="52"/>
      <c r="AF389" s="51"/>
      <c r="AG389" s="51"/>
      <c r="AH389" s="51"/>
      <c r="AI389" s="51"/>
    </row>
    <row r="390" spans="7:35" ht="14.4">
      <c r="G390" s="51"/>
      <c r="I390" s="51"/>
      <c r="Z390" s="52"/>
      <c r="AF390" s="51"/>
      <c r="AG390" s="51"/>
      <c r="AH390" s="51"/>
      <c r="AI390" s="51"/>
    </row>
    <row r="391" spans="7:35" ht="14.4">
      <c r="G391" s="51"/>
      <c r="I391" s="51"/>
      <c r="Z391" s="52"/>
      <c r="AF391" s="51"/>
      <c r="AG391" s="51"/>
      <c r="AH391" s="51"/>
      <c r="AI391" s="51"/>
    </row>
    <row r="392" spans="7:35" ht="14.4">
      <c r="G392" s="51"/>
      <c r="I392" s="51"/>
      <c r="Z392" s="52"/>
      <c r="AF392" s="51"/>
      <c r="AG392" s="51"/>
      <c r="AH392" s="51"/>
      <c r="AI392" s="51"/>
    </row>
    <row r="393" spans="7:35" ht="14.4">
      <c r="G393" s="51"/>
      <c r="I393" s="51"/>
      <c r="Z393" s="52"/>
      <c r="AF393" s="51"/>
      <c r="AG393" s="51"/>
      <c r="AH393" s="51"/>
      <c r="AI393" s="51"/>
    </row>
    <row r="394" spans="7:35" ht="14.4">
      <c r="G394" s="51"/>
      <c r="I394" s="51"/>
      <c r="Z394" s="52"/>
      <c r="AF394" s="51"/>
      <c r="AG394" s="51"/>
      <c r="AH394" s="51"/>
      <c r="AI394" s="51"/>
    </row>
    <row r="395" spans="7:35" ht="14.4">
      <c r="G395" s="51"/>
      <c r="I395" s="51"/>
      <c r="Z395" s="52"/>
      <c r="AF395" s="51"/>
      <c r="AG395" s="51"/>
      <c r="AH395" s="51"/>
      <c r="AI395" s="51"/>
    </row>
    <row r="396" spans="7:35" ht="14.4">
      <c r="G396" s="51"/>
      <c r="I396" s="51"/>
      <c r="Z396" s="52"/>
      <c r="AF396" s="51"/>
      <c r="AG396" s="51"/>
      <c r="AH396" s="51"/>
      <c r="AI396" s="51"/>
    </row>
    <row r="397" spans="7:35" ht="14.4">
      <c r="G397" s="51"/>
      <c r="I397" s="51"/>
      <c r="Z397" s="52"/>
      <c r="AF397" s="51"/>
      <c r="AG397" s="51"/>
      <c r="AH397" s="51"/>
      <c r="AI397" s="51"/>
    </row>
    <row r="398" spans="7:35" ht="14.4">
      <c r="G398" s="51"/>
      <c r="I398" s="51"/>
      <c r="Z398" s="52"/>
      <c r="AF398" s="51"/>
      <c r="AG398" s="51"/>
      <c r="AH398" s="51"/>
      <c r="AI398" s="51"/>
    </row>
    <row r="399" spans="7:35" ht="14.4">
      <c r="G399" s="51"/>
      <c r="I399" s="51"/>
      <c r="Z399" s="52"/>
      <c r="AF399" s="51"/>
      <c r="AG399" s="51"/>
      <c r="AH399" s="51"/>
      <c r="AI399" s="51"/>
    </row>
    <row r="400" spans="7:35" ht="14.4">
      <c r="G400" s="51"/>
      <c r="I400" s="51"/>
      <c r="Z400" s="52"/>
      <c r="AF400" s="51"/>
      <c r="AG400" s="51"/>
      <c r="AH400" s="51"/>
      <c r="AI400" s="51"/>
    </row>
    <row r="401" spans="7:35" ht="14.4">
      <c r="G401" s="51"/>
      <c r="I401" s="51"/>
      <c r="Z401" s="52"/>
      <c r="AF401" s="51"/>
      <c r="AG401" s="51"/>
      <c r="AH401" s="51"/>
      <c r="AI401" s="51"/>
    </row>
    <row r="402" spans="7:35" ht="14.4">
      <c r="G402" s="51"/>
      <c r="I402" s="51"/>
      <c r="Z402" s="52"/>
      <c r="AF402" s="51"/>
      <c r="AG402" s="51"/>
      <c r="AH402" s="51"/>
      <c r="AI402" s="51"/>
    </row>
    <row r="403" spans="7:35" ht="14.4">
      <c r="G403" s="51"/>
      <c r="I403" s="51"/>
      <c r="Z403" s="52"/>
      <c r="AF403" s="51"/>
      <c r="AG403" s="51"/>
      <c r="AH403" s="51"/>
      <c r="AI403" s="51"/>
    </row>
    <row r="404" spans="7:35" ht="14.4">
      <c r="G404" s="51"/>
      <c r="I404" s="51"/>
      <c r="Z404" s="52"/>
      <c r="AF404" s="51"/>
      <c r="AG404" s="51"/>
      <c r="AH404" s="51"/>
      <c r="AI404" s="51"/>
    </row>
    <row r="405" spans="7:35" ht="14.4">
      <c r="G405" s="51"/>
      <c r="I405" s="51"/>
      <c r="Z405" s="52"/>
      <c r="AF405" s="51"/>
      <c r="AG405" s="51"/>
      <c r="AH405" s="51"/>
      <c r="AI405" s="51"/>
    </row>
    <row r="406" spans="7:35" ht="14.4">
      <c r="G406" s="51"/>
      <c r="I406" s="51"/>
      <c r="Z406" s="52"/>
      <c r="AF406" s="51"/>
      <c r="AG406" s="51"/>
      <c r="AH406" s="51"/>
      <c r="AI406" s="51"/>
    </row>
    <row r="407" spans="7:35" ht="14.4">
      <c r="G407" s="51"/>
      <c r="I407" s="51"/>
      <c r="Z407" s="52"/>
      <c r="AF407" s="51"/>
      <c r="AG407" s="51"/>
      <c r="AH407" s="51"/>
      <c r="AI407" s="51"/>
    </row>
    <row r="408" spans="7:35" ht="14.4">
      <c r="G408" s="51"/>
      <c r="I408" s="51"/>
      <c r="Z408" s="52"/>
      <c r="AF408" s="51"/>
      <c r="AG408" s="51"/>
      <c r="AH408" s="51"/>
      <c r="AI408" s="51"/>
    </row>
    <row r="409" spans="7:35" ht="14.4">
      <c r="G409" s="51"/>
      <c r="I409" s="51"/>
      <c r="Z409" s="52"/>
      <c r="AF409" s="51"/>
      <c r="AG409" s="51"/>
      <c r="AH409" s="51"/>
      <c r="AI409" s="51"/>
    </row>
    <row r="410" spans="7:35" ht="14.4">
      <c r="G410" s="51"/>
      <c r="I410" s="51"/>
      <c r="Z410" s="52"/>
      <c r="AF410" s="51"/>
      <c r="AG410" s="51"/>
      <c r="AH410" s="51"/>
      <c r="AI410" s="51"/>
    </row>
    <row r="411" spans="7:35" ht="14.4">
      <c r="G411" s="51"/>
      <c r="I411" s="51"/>
      <c r="Z411" s="52"/>
      <c r="AF411" s="51"/>
      <c r="AG411" s="51"/>
      <c r="AH411" s="51"/>
      <c r="AI411" s="51"/>
    </row>
    <row r="412" spans="7:35" ht="14.4">
      <c r="G412" s="51"/>
      <c r="I412" s="51"/>
      <c r="Z412" s="52"/>
      <c r="AF412" s="51"/>
      <c r="AG412" s="51"/>
      <c r="AH412" s="51"/>
      <c r="AI412" s="51"/>
    </row>
    <row r="413" spans="7:35" ht="14.4">
      <c r="G413" s="51"/>
      <c r="I413" s="51"/>
      <c r="Z413" s="52"/>
      <c r="AF413" s="51"/>
      <c r="AG413" s="51"/>
      <c r="AH413" s="51"/>
      <c r="AI413" s="51"/>
    </row>
    <row r="414" spans="7:35" ht="14.4">
      <c r="G414" s="51"/>
      <c r="I414" s="51"/>
      <c r="Z414" s="52"/>
      <c r="AF414" s="51"/>
      <c r="AG414" s="51"/>
      <c r="AH414" s="51"/>
      <c r="AI414" s="51"/>
    </row>
    <row r="415" spans="7:35" ht="14.4">
      <c r="G415" s="51"/>
      <c r="I415" s="51"/>
      <c r="Z415" s="52"/>
      <c r="AF415" s="51"/>
      <c r="AG415" s="51"/>
      <c r="AH415" s="51"/>
      <c r="AI415" s="51"/>
    </row>
    <row r="416" spans="7:35" ht="14.4">
      <c r="G416" s="51"/>
      <c r="I416" s="51"/>
      <c r="Z416" s="52"/>
      <c r="AF416" s="51"/>
      <c r="AG416" s="51"/>
      <c r="AH416" s="51"/>
      <c r="AI416" s="51"/>
    </row>
    <row r="417" spans="7:35" ht="14.4">
      <c r="G417" s="51"/>
      <c r="I417" s="51"/>
      <c r="Z417" s="52"/>
      <c r="AF417" s="51"/>
      <c r="AG417" s="51"/>
      <c r="AH417" s="51"/>
      <c r="AI417" s="51"/>
    </row>
    <row r="418" spans="7:35" ht="14.4">
      <c r="G418" s="51"/>
      <c r="I418" s="51"/>
      <c r="Z418" s="52"/>
      <c r="AF418" s="51"/>
      <c r="AG418" s="51"/>
      <c r="AH418" s="51"/>
      <c r="AI418" s="51"/>
    </row>
    <row r="419" spans="7:35" ht="14.4">
      <c r="G419" s="51"/>
      <c r="I419" s="51"/>
      <c r="Z419" s="52"/>
      <c r="AF419" s="51"/>
      <c r="AG419" s="51"/>
      <c r="AH419" s="51"/>
      <c r="AI419" s="51"/>
    </row>
    <row r="420" spans="7:35" ht="14.4">
      <c r="G420" s="51"/>
      <c r="I420" s="51"/>
      <c r="Z420" s="52"/>
      <c r="AF420" s="51"/>
      <c r="AG420" s="51"/>
      <c r="AH420" s="51"/>
      <c r="AI420" s="51"/>
    </row>
    <row r="421" spans="7:35" ht="14.4">
      <c r="G421" s="51"/>
      <c r="I421" s="51"/>
      <c r="Z421" s="52"/>
      <c r="AF421" s="51"/>
      <c r="AG421" s="51"/>
      <c r="AH421" s="51"/>
      <c r="AI421" s="51"/>
    </row>
    <row r="422" spans="7:35" ht="14.4">
      <c r="G422" s="51"/>
      <c r="I422" s="51"/>
      <c r="Z422" s="52"/>
      <c r="AF422" s="51"/>
      <c r="AG422" s="51"/>
      <c r="AH422" s="51"/>
      <c r="AI422" s="51"/>
    </row>
    <row r="423" spans="7:35" ht="14.4">
      <c r="G423" s="51"/>
      <c r="I423" s="51"/>
      <c r="Z423" s="52"/>
      <c r="AF423" s="51"/>
      <c r="AG423" s="51"/>
      <c r="AH423" s="51"/>
      <c r="AI423" s="51"/>
    </row>
    <row r="424" spans="7:35" ht="14.4">
      <c r="G424" s="51"/>
      <c r="I424" s="51"/>
      <c r="Z424" s="52"/>
      <c r="AF424" s="51"/>
      <c r="AG424" s="51"/>
      <c r="AH424" s="51"/>
      <c r="AI424" s="51"/>
    </row>
    <row r="425" spans="7:35" ht="14.4">
      <c r="G425" s="51"/>
      <c r="I425" s="51"/>
      <c r="Z425" s="52"/>
      <c r="AF425" s="51"/>
      <c r="AG425" s="51"/>
      <c r="AH425" s="51"/>
      <c r="AI425" s="51"/>
    </row>
    <row r="426" spans="7:35" ht="14.4">
      <c r="G426" s="51"/>
      <c r="I426" s="51"/>
      <c r="Z426" s="52"/>
      <c r="AF426" s="51"/>
      <c r="AG426" s="51"/>
      <c r="AH426" s="51"/>
      <c r="AI426" s="51"/>
    </row>
    <row r="427" spans="7:35" ht="14.4">
      <c r="G427" s="51"/>
      <c r="I427" s="51"/>
      <c r="Z427" s="52"/>
      <c r="AF427" s="51"/>
      <c r="AG427" s="51"/>
      <c r="AH427" s="51"/>
      <c r="AI427" s="51"/>
    </row>
    <row r="428" spans="7:35" ht="14.4">
      <c r="G428" s="51"/>
      <c r="I428" s="51"/>
      <c r="Z428" s="52"/>
      <c r="AF428" s="51"/>
      <c r="AG428" s="51"/>
      <c r="AH428" s="51"/>
      <c r="AI428" s="51"/>
    </row>
    <row r="429" spans="7:35" ht="14.4">
      <c r="G429" s="51"/>
      <c r="I429" s="51"/>
      <c r="Z429" s="52"/>
      <c r="AF429" s="51"/>
      <c r="AG429" s="51"/>
      <c r="AH429" s="51"/>
      <c r="AI429" s="51"/>
    </row>
    <row r="430" spans="7:35" ht="14.4">
      <c r="G430" s="51"/>
      <c r="I430" s="51"/>
      <c r="Z430" s="52"/>
      <c r="AF430" s="51"/>
      <c r="AG430" s="51"/>
      <c r="AH430" s="51"/>
      <c r="AI430" s="51"/>
    </row>
    <row r="431" spans="7:35" ht="14.4">
      <c r="G431" s="51"/>
      <c r="I431" s="51"/>
      <c r="Z431" s="52"/>
      <c r="AF431" s="51"/>
      <c r="AG431" s="51"/>
      <c r="AH431" s="51"/>
      <c r="AI431" s="51"/>
    </row>
    <row r="432" spans="7:35" ht="14.4">
      <c r="G432" s="51"/>
      <c r="I432" s="51"/>
      <c r="Z432" s="52"/>
      <c r="AF432" s="51"/>
      <c r="AG432" s="51"/>
      <c r="AH432" s="51"/>
      <c r="AI432" s="51"/>
    </row>
    <row r="433" spans="7:35" ht="14.4">
      <c r="G433" s="51"/>
      <c r="I433" s="51"/>
      <c r="Z433" s="52"/>
      <c r="AF433" s="51"/>
      <c r="AG433" s="51"/>
      <c r="AH433" s="51"/>
      <c r="AI433" s="51"/>
    </row>
    <row r="434" spans="7:35" ht="14.4">
      <c r="G434" s="51"/>
      <c r="I434" s="51"/>
      <c r="Z434" s="52"/>
      <c r="AF434" s="51"/>
      <c r="AG434" s="51"/>
      <c r="AH434" s="51"/>
      <c r="AI434" s="51"/>
    </row>
    <row r="435" spans="7:35" ht="14.4">
      <c r="G435" s="51"/>
      <c r="I435" s="51"/>
      <c r="Z435" s="52"/>
      <c r="AF435" s="51"/>
      <c r="AG435" s="51"/>
      <c r="AH435" s="51"/>
      <c r="AI435" s="51"/>
    </row>
    <row r="436" spans="7:35" ht="14.4">
      <c r="G436" s="51"/>
      <c r="I436" s="51"/>
      <c r="Z436" s="52"/>
      <c r="AF436" s="51"/>
      <c r="AG436" s="51"/>
      <c r="AH436" s="51"/>
      <c r="AI436" s="51"/>
    </row>
    <row r="437" spans="7:35" ht="14.4">
      <c r="G437" s="51"/>
      <c r="I437" s="51"/>
      <c r="Z437" s="52"/>
      <c r="AF437" s="51"/>
      <c r="AG437" s="51"/>
      <c r="AH437" s="51"/>
      <c r="AI437" s="51"/>
    </row>
    <row r="438" spans="7:35" ht="14.4">
      <c r="G438" s="51"/>
      <c r="I438" s="51"/>
      <c r="Z438" s="52"/>
      <c r="AF438" s="51"/>
      <c r="AG438" s="51"/>
      <c r="AH438" s="51"/>
      <c r="AI438" s="51"/>
    </row>
    <row r="439" spans="7:35" ht="14.4">
      <c r="G439" s="51"/>
      <c r="I439" s="51"/>
      <c r="Z439" s="52"/>
      <c r="AF439" s="51"/>
      <c r="AG439" s="51"/>
      <c r="AH439" s="51"/>
      <c r="AI439" s="51"/>
    </row>
    <row r="440" spans="7:35" ht="14.4">
      <c r="G440" s="51"/>
      <c r="I440" s="51"/>
      <c r="Z440" s="52"/>
      <c r="AF440" s="51"/>
      <c r="AG440" s="51"/>
      <c r="AH440" s="51"/>
      <c r="AI440" s="51"/>
    </row>
    <row r="441" spans="7:35" ht="14.4">
      <c r="G441" s="51"/>
      <c r="I441" s="51"/>
      <c r="Z441" s="52"/>
      <c r="AF441" s="51"/>
      <c r="AG441" s="51"/>
      <c r="AH441" s="51"/>
      <c r="AI441" s="51"/>
    </row>
    <row r="442" spans="7:35" ht="14.4">
      <c r="G442" s="51"/>
      <c r="I442" s="51"/>
      <c r="Z442" s="52"/>
      <c r="AF442" s="51"/>
      <c r="AG442" s="51"/>
      <c r="AH442" s="51"/>
      <c r="AI442" s="51"/>
    </row>
    <row r="443" spans="7:35" ht="14.4">
      <c r="G443" s="51"/>
      <c r="I443" s="51"/>
      <c r="Z443" s="52"/>
      <c r="AF443" s="51"/>
      <c r="AG443" s="51"/>
      <c r="AH443" s="51"/>
      <c r="AI443" s="51"/>
    </row>
    <row r="444" spans="7:35" ht="14.4">
      <c r="G444" s="51"/>
      <c r="I444" s="51"/>
      <c r="Z444" s="52"/>
      <c r="AF444" s="51"/>
      <c r="AG444" s="51"/>
      <c r="AH444" s="51"/>
      <c r="AI444" s="51"/>
    </row>
    <row r="445" spans="7:35" ht="14.4">
      <c r="G445" s="51"/>
      <c r="I445" s="51"/>
      <c r="Z445" s="52"/>
      <c r="AF445" s="51"/>
      <c r="AG445" s="51"/>
      <c r="AH445" s="51"/>
      <c r="AI445" s="51"/>
    </row>
    <row r="446" spans="7:35" ht="14.4">
      <c r="G446" s="51"/>
      <c r="I446" s="51"/>
      <c r="Z446" s="52"/>
      <c r="AF446" s="51"/>
      <c r="AG446" s="51"/>
      <c r="AH446" s="51"/>
      <c r="AI446" s="51"/>
    </row>
    <row r="447" spans="7:35" ht="14.4">
      <c r="G447" s="51"/>
      <c r="I447" s="51"/>
      <c r="Z447" s="52"/>
      <c r="AF447" s="51"/>
      <c r="AG447" s="51"/>
      <c r="AH447" s="51"/>
      <c r="AI447" s="51"/>
    </row>
    <row r="448" spans="7:35" ht="14.4">
      <c r="G448" s="51"/>
      <c r="I448" s="51"/>
      <c r="Z448" s="52"/>
      <c r="AF448" s="51"/>
      <c r="AG448" s="51"/>
      <c r="AH448" s="51"/>
      <c r="AI448" s="51"/>
    </row>
    <row r="449" spans="7:35" ht="14.4">
      <c r="G449" s="51"/>
      <c r="I449" s="51"/>
      <c r="Z449" s="52"/>
      <c r="AF449" s="51"/>
      <c r="AG449" s="51"/>
      <c r="AH449" s="51"/>
      <c r="AI449" s="51"/>
    </row>
    <row r="450" spans="7:35" ht="14.4">
      <c r="G450" s="51"/>
      <c r="I450" s="51"/>
      <c r="Z450" s="52"/>
      <c r="AF450" s="51"/>
      <c r="AG450" s="51"/>
      <c r="AH450" s="51"/>
      <c r="AI450" s="51"/>
    </row>
    <row r="451" spans="7:35" ht="14.4">
      <c r="G451" s="51"/>
      <c r="I451" s="51"/>
      <c r="Z451" s="52"/>
      <c r="AF451" s="51"/>
      <c r="AG451" s="51"/>
      <c r="AH451" s="51"/>
      <c r="AI451" s="51"/>
    </row>
    <row r="452" spans="7:35" ht="14.4">
      <c r="G452" s="51"/>
      <c r="I452" s="51"/>
      <c r="Z452" s="52"/>
      <c r="AF452" s="51"/>
      <c r="AG452" s="51"/>
      <c r="AH452" s="51"/>
      <c r="AI452" s="51"/>
    </row>
    <row r="453" spans="7:35" ht="14.4">
      <c r="G453" s="51"/>
      <c r="I453" s="51"/>
      <c r="Z453" s="52"/>
      <c r="AF453" s="51"/>
      <c r="AG453" s="51"/>
      <c r="AH453" s="51"/>
      <c r="AI453" s="51"/>
    </row>
    <row r="454" spans="7:35" ht="14.4">
      <c r="G454" s="51"/>
      <c r="I454" s="51"/>
      <c r="Z454" s="52"/>
      <c r="AF454" s="51"/>
      <c r="AG454" s="51"/>
      <c r="AH454" s="51"/>
      <c r="AI454" s="51"/>
    </row>
    <row r="455" spans="7:35" ht="14.4">
      <c r="G455" s="51"/>
      <c r="I455" s="51"/>
      <c r="Z455" s="52"/>
      <c r="AF455" s="51"/>
      <c r="AG455" s="51"/>
      <c r="AH455" s="51"/>
      <c r="AI455" s="51"/>
    </row>
    <row r="456" spans="7:35" ht="14.4">
      <c r="G456" s="51"/>
      <c r="I456" s="51"/>
      <c r="Z456" s="52"/>
      <c r="AF456" s="51"/>
      <c r="AG456" s="51"/>
      <c r="AH456" s="51"/>
      <c r="AI456" s="51"/>
    </row>
    <row r="457" spans="7:35" ht="14.4">
      <c r="G457" s="51"/>
      <c r="I457" s="51"/>
      <c r="Z457" s="52"/>
      <c r="AF457" s="51"/>
      <c r="AG457" s="51"/>
      <c r="AH457" s="51"/>
      <c r="AI457" s="51"/>
    </row>
    <row r="458" spans="7:35" ht="14.4">
      <c r="G458" s="51"/>
      <c r="I458" s="51"/>
      <c r="Z458" s="52"/>
      <c r="AF458" s="51"/>
      <c r="AG458" s="51"/>
      <c r="AH458" s="51"/>
      <c r="AI458" s="51"/>
    </row>
    <row r="459" spans="7:35" ht="14.4">
      <c r="G459" s="51"/>
      <c r="I459" s="51"/>
      <c r="Z459" s="52"/>
      <c r="AF459" s="51"/>
      <c r="AG459" s="51"/>
      <c r="AH459" s="51"/>
      <c r="AI459" s="51"/>
    </row>
    <row r="460" spans="7:35" ht="14.4">
      <c r="G460" s="51"/>
      <c r="I460" s="51"/>
      <c r="Z460" s="52"/>
      <c r="AF460" s="51"/>
      <c r="AG460" s="51"/>
      <c r="AH460" s="51"/>
      <c r="AI460" s="51"/>
    </row>
    <row r="461" spans="7:35" ht="14.4">
      <c r="G461" s="51"/>
      <c r="I461" s="51"/>
      <c r="Z461" s="52"/>
      <c r="AF461" s="51"/>
      <c r="AG461" s="51"/>
      <c r="AH461" s="51"/>
      <c r="AI461" s="51"/>
    </row>
    <row r="462" spans="7:35" ht="14.4">
      <c r="G462" s="51"/>
      <c r="I462" s="51"/>
      <c r="Z462" s="52"/>
      <c r="AF462" s="51"/>
      <c r="AG462" s="51"/>
      <c r="AH462" s="51"/>
      <c r="AI462" s="51"/>
    </row>
    <row r="463" spans="7:35" ht="14.4">
      <c r="G463" s="51"/>
      <c r="I463" s="51"/>
      <c r="Z463" s="52"/>
      <c r="AF463" s="51"/>
      <c r="AG463" s="51"/>
      <c r="AH463" s="51"/>
      <c r="AI463" s="51"/>
    </row>
    <row r="464" spans="7:35" ht="14.4">
      <c r="G464" s="51"/>
      <c r="I464" s="51"/>
      <c r="Z464" s="52"/>
      <c r="AF464" s="51"/>
      <c r="AG464" s="51"/>
      <c r="AH464" s="51"/>
      <c r="AI464" s="51"/>
    </row>
    <row r="465" spans="7:35" ht="14.4">
      <c r="G465" s="51"/>
      <c r="I465" s="51"/>
      <c r="Z465" s="52"/>
      <c r="AF465" s="51"/>
      <c r="AG465" s="51"/>
      <c r="AH465" s="51"/>
      <c r="AI465" s="51"/>
    </row>
    <row r="466" spans="7:35" ht="14.4">
      <c r="G466" s="51"/>
      <c r="I466" s="51"/>
      <c r="Z466" s="52"/>
      <c r="AF466" s="51"/>
      <c r="AG466" s="51"/>
      <c r="AH466" s="51"/>
      <c r="AI466" s="51"/>
    </row>
    <row r="467" spans="7:35" ht="14.4">
      <c r="G467" s="51"/>
      <c r="I467" s="51"/>
      <c r="Z467" s="52"/>
      <c r="AF467" s="51"/>
      <c r="AG467" s="51"/>
      <c r="AH467" s="51"/>
      <c r="AI467" s="51"/>
    </row>
    <row r="468" spans="7:35" ht="14.4">
      <c r="G468" s="51"/>
      <c r="I468" s="51"/>
      <c r="Z468" s="52"/>
      <c r="AF468" s="51"/>
      <c r="AG468" s="51"/>
      <c r="AH468" s="51"/>
      <c r="AI468" s="51"/>
    </row>
    <row r="469" spans="7:35" ht="14.4">
      <c r="G469" s="51"/>
      <c r="I469" s="51"/>
      <c r="Z469" s="52"/>
      <c r="AF469" s="51"/>
      <c r="AG469" s="51"/>
      <c r="AH469" s="51"/>
      <c r="AI469" s="51"/>
    </row>
    <row r="470" spans="7:35" ht="14.4">
      <c r="G470" s="51"/>
      <c r="I470" s="51"/>
      <c r="Z470" s="52"/>
      <c r="AF470" s="51"/>
      <c r="AG470" s="51"/>
      <c r="AH470" s="51"/>
      <c r="AI470" s="51"/>
    </row>
    <row r="471" spans="7:35" ht="14.4">
      <c r="G471" s="51"/>
      <c r="I471" s="51"/>
      <c r="Z471" s="52"/>
      <c r="AF471" s="51"/>
      <c r="AG471" s="51"/>
      <c r="AH471" s="51"/>
      <c r="AI471" s="51"/>
    </row>
    <row r="472" spans="7:35" ht="14.4">
      <c r="G472" s="51"/>
      <c r="I472" s="51"/>
      <c r="Z472" s="52"/>
      <c r="AF472" s="51"/>
      <c r="AG472" s="51"/>
      <c r="AH472" s="51"/>
      <c r="AI472" s="51"/>
    </row>
    <row r="473" spans="7:35" ht="14.4">
      <c r="G473" s="51"/>
      <c r="I473" s="51"/>
      <c r="Z473" s="52"/>
      <c r="AF473" s="51"/>
      <c r="AG473" s="51"/>
      <c r="AH473" s="51"/>
      <c r="AI473" s="51"/>
    </row>
    <row r="474" spans="7:35" ht="14.4">
      <c r="G474" s="51"/>
      <c r="I474" s="51"/>
      <c r="Z474" s="52"/>
      <c r="AF474" s="51"/>
      <c r="AG474" s="51"/>
      <c r="AH474" s="51"/>
      <c r="AI474" s="51"/>
    </row>
    <row r="475" spans="7:35" ht="14.4">
      <c r="G475" s="51"/>
      <c r="I475" s="51"/>
      <c r="Z475" s="52"/>
      <c r="AF475" s="51"/>
      <c r="AG475" s="51"/>
      <c r="AH475" s="51"/>
      <c r="AI475" s="51"/>
    </row>
    <row r="476" spans="7:35" ht="14.4">
      <c r="G476" s="51"/>
      <c r="I476" s="51"/>
      <c r="Z476" s="52"/>
      <c r="AF476" s="51"/>
      <c r="AG476" s="51"/>
      <c r="AH476" s="51"/>
      <c r="AI476" s="51"/>
    </row>
    <row r="477" spans="7:35" ht="14.4">
      <c r="G477" s="51"/>
      <c r="I477" s="51"/>
      <c r="Z477" s="52"/>
      <c r="AF477" s="51"/>
      <c r="AG477" s="51"/>
      <c r="AH477" s="51"/>
      <c r="AI477" s="51"/>
    </row>
    <row r="478" spans="7:35" ht="14.4">
      <c r="G478" s="51"/>
      <c r="I478" s="51"/>
      <c r="Z478" s="52"/>
      <c r="AF478" s="51"/>
      <c r="AG478" s="51"/>
      <c r="AH478" s="51"/>
      <c r="AI478" s="51"/>
    </row>
    <row r="479" spans="7:35" ht="14.4">
      <c r="G479" s="51"/>
      <c r="I479" s="51"/>
      <c r="Z479" s="52"/>
      <c r="AF479" s="51"/>
      <c r="AG479" s="51"/>
      <c r="AH479" s="51"/>
      <c r="AI479" s="51"/>
    </row>
    <row r="480" spans="7:35" ht="14.4">
      <c r="G480" s="51"/>
      <c r="I480" s="51"/>
      <c r="Z480" s="52"/>
      <c r="AF480" s="51"/>
      <c r="AG480" s="51"/>
      <c r="AH480" s="51"/>
      <c r="AI480" s="51"/>
    </row>
    <row r="481" spans="7:35" ht="14.4">
      <c r="G481" s="51"/>
      <c r="I481" s="51"/>
      <c r="Z481" s="52"/>
      <c r="AF481" s="51"/>
      <c r="AG481" s="51"/>
      <c r="AH481" s="51"/>
      <c r="AI481" s="51"/>
    </row>
    <row r="482" spans="7:35" ht="14.4">
      <c r="G482" s="51"/>
      <c r="I482" s="51"/>
      <c r="Z482" s="52"/>
      <c r="AF482" s="51"/>
      <c r="AG482" s="51"/>
      <c r="AH482" s="51"/>
      <c r="AI482" s="51"/>
    </row>
    <row r="483" spans="7:35" ht="14.4">
      <c r="G483" s="51"/>
      <c r="I483" s="51"/>
      <c r="Z483" s="52"/>
      <c r="AF483" s="51"/>
      <c r="AG483" s="51"/>
      <c r="AH483" s="51"/>
      <c r="AI483" s="51"/>
    </row>
    <row r="484" spans="7:35" ht="14.4">
      <c r="G484" s="51"/>
      <c r="I484" s="51"/>
      <c r="Z484" s="52"/>
      <c r="AF484" s="51"/>
      <c r="AG484" s="51"/>
      <c r="AH484" s="51"/>
      <c r="AI484" s="51"/>
    </row>
    <row r="485" spans="7:35" ht="14.4">
      <c r="G485" s="51"/>
      <c r="I485" s="51"/>
      <c r="Z485" s="52"/>
      <c r="AF485" s="51"/>
      <c r="AG485" s="51"/>
      <c r="AH485" s="51"/>
      <c r="AI485" s="51"/>
    </row>
    <row r="486" spans="7:35" ht="14.4">
      <c r="G486" s="51"/>
      <c r="I486" s="51"/>
      <c r="Z486" s="52"/>
      <c r="AF486" s="51"/>
      <c r="AG486" s="51"/>
      <c r="AH486" s="51"/>
      <c r="AI486" s="51"/>
    </row>
    <row r="487" spans="7:35" ht="14.4">
      <c r="G487" s="51"/>
      <c r="I487" s="51"/>
      <c r="Z487" s="52"/>
      <c r="AF487" s="51"/>
      <c r="AG487" s="51"/>
      <c r="AH487" s="51"/>
      <c r="AI487" s="51"/>
    </row>
    <row r="488" spans="7:35" ht="14.4">
      <c r="G488" s="51"/>
      <c r="I488" s="51"/>
      <c r="Z488" s="52"/>
      <c r="AF488" s="51"/>
      <c r="AG488" s="51"/>
      <c r="AH488" s="51"/>
      <c r="AI488" s="51"/>
    </row>
    <row r="489" spans="7:35" ht="14.4">
      <c r="G489" s="51"/>
      <c r="I489" s="51"/>
      <c r="Z489" s="52"/>
      <c r="AF489" s="51"/>
      <c r="AG489" s="51"/>
      <c r="AH489" s="51"/>
      <c r="AI489" s="51"/>
    </row>
    <row r="490" spans="7:35" ht="14.4">
      <c r="G490" s="51"/>
      <c r="I490" s="51"/>
      <c r="Z490" s="52"/>
      <c r="AF490" s="51"/>
      <c r="AG490" s="51"/>
      <c r="AH490" s="51"/>
      <c r="AI490" s="51"/>
    </row>
    <row r="491" spans="7:35" ht="14.4">
      <c r="G491" s="51"/>
      <c r="I491" s="51"/>
      <c r="Z491" s="52"/>
      <c r="AF491" s="51"/>
      <c r="AG491" s="51"/>
      <c r="AH491" s="51"/>
      <c r="AI491" s="51"/>
    </row>
    <row r="492" spans="7:35" ht="14.4">
      <c r="G492" s="51"/>
      <c r="I492" s="51"/>
      <c r="Z492" s="52"/>
      <c r="AF492" s="51"/>
      <c r="AG492" s="51"/>
      <c r="AH492" s="51"/>
      <c r="AI492" s="51"/>
    </row>
    <row r="493" spans="7:35" ht="14.4">
      <c r="G493" s="51"/>
      <c r="I493" s="51"/>
      <c r="Z493" s="52"/>
      <c r="AF493" s="51"/>
      <c r="AG493" s="51"/>
      <c r="AH493" s="51"/>
      <c r="AI493" s="51"/>
    </row>
    <row r="494" spans="7:35" ht="14.4">
      <c r="G494" s="51"/>
      <c r="I494" s="51"/>
      <c r="Z494" s="52"/>
      <c r="AF494" s="51"/>
      <c r="AG494" s="51"/>
      <c r="AH494" s="51"/>
      <c r="AI494" s="51"/>
    </row>
    <row r="495" spans="7:35" ht="14.4">
      <c r="G495" s="51"/>
      <c r="I495" s="51"/>
      <c r="Z495" s="52"/>
      <c r="AF495" s="51"/>
      <c r="AG495" s="51"/>
      <c r="AH495" s="51"/>
      <c r="AI495" s="51"/>
    </row>
    <row r="496" spans="7:35" ht="14.4">
      <c r="G496" s="51"/>
      <c r="I496" s="51"/>
      <c r="Z496" s="52"/>
      <c r="AF496" s="51"/>
      <c r="AG496" s="51"/>
      <c r="AH496" s="51"/>
      <c r="AI496" s="51"/>
    </row>
    <row r="497" spans="7:35" ht="14.4">
      <c r="G497" s="51"/>
      <c r="I497" s="51"/>
      <c r="Z497" s="52"/>
      <c r="AF497" s="51"/>
      <c r="AG497" s="51"/>
      <c r="AH497" s="51"/>
      <c r="AI497" s="51"/>
    </row>
    <row r="498" spans="7:35" ht="14.4">
      <c r="G498" s="51"/>
      <c r="I498" s="51"/>
      <c r="Z498" s="52"/>
      <c r="AF498" s="51"/>
      <c r="AG498" s="51"/>
      <c r="AH498" s="51"/>
      <c r="AI498" s="51"/>
    </row>
    <row r="499" spans="7:35" ht="14.4">
      <c r="G499" s="51"/>
      <c r="I499" s="51"/>
      <c r="Z499" s="52"/>
      <c r="AF499" s="51"/>
      <c r="AG499" s="51"/>
      <c r="AH499" s="51"/>
      <c r="AI499" s="51"/>
    </row>
    <row r="500" spans="7:35" ht="14.4">
      <c r="G500" s="51"/>
      <c r="I500" s="51"/>
      <c r="Z500" s="52"/>
      <c r="AF500" s="51"/>
      <c r="AG500" s="51"/>
      <c r="AH500" s="51"/>
      <c r="AI500" s="51"/>
    </row>
    <row r="501" spans="7:35" ht="14.4">
      <c r="G501" s="51"/>
      <c r="I501" s="51"/>
      <c r="Z501" s="52"/>
      <c r="AF501" s="51"/>
      <c r="AG501" s="51"/>
      <c r="AH501" s="51"/>
      <c r="AI501" s="51"/>
    </row>
    <row r="502" spans="7:35" ht="14.4">
      <c r="G502" s="51"/>
      <c r="I502" s="51"/>
      <c r="Z502" s="52"/>
      <c r="AF502" s="51"/>
      <c r="AG502" s="51"/>
      <c r="AH502" s="51"/>
      <c r="AI502" s="51"/>
    </row>
    <row r="503" spans="7:35" ht="14.4">
      <c r="G503" s="51"/>
      <c r="I503" s="51"/>
      <c r="Z503" s="52"/>
      <c r="AF503" s="51"/>
      <c r="AG503" s="51"/>
      <c r="AH503" s="51"/>
      <c r="AI503" s="51"/>
    </row>
    <row r="504" spans="7:35" ht="14.4">
      <c r="G504" s="51"/>
      <c r="I504" s="51"/>
      <c r="Z504" s="52"/>
      <c r="AF504" s="51"/>
      <c r="AG504" s="51"/>
      <c r="AH504" s="51"/>
      <c r="AI504" s="51"/>
    </row>
    <row r="505" spans="7:35" ht="14.4">
      <c r="G505" s="51"/>
      <c r="I505" s="51"/>
      <c r="Z505" s="52"/>
      <c r="AF505" s="51"/>
      <c r="AG505" s="51"/>
      <c r="AH505" s="51"/>
      <c r="AI505" s="51"/>
    </row>
    <row r="506" spans="7:35" ht="14.4">
      <c r="G506" s="51"/>
      <c r="I506" s="51"/>
      <c r="Z506" s="52"/>
      <c r="AF506" s="51"/>
      <c r="AG506" s="51"/>
      <c r="AH506" s="51"/>
      <c r="AI506" s="51"/>
    </row>
    <row r="507" spans="7:35" ht="14.4">
      <c r="G507" s="51"/>
      <c r="I507" s="51"/>
      <c r="Z507" s="52"/>
      <c r="AF507" s="51"/>
      <c r="AG507" s="51"/>
      <c r="AH507" s="51"/>
      <c r="AI507" s="51"/>
    </row>
    <row r="508" spans="7:35" ht="14.4">
      <c r="G508" s="51"/>
      <c r="I508" s="51"/>
      <c r="Z508" s="52"/>
      <c r="AF508" s="51"/>
      <c r="AG508" s="51"/>
      <c r="AH508" s="51"/>
      <c r="AI508" s="51"/>
    </row>
    <row r="509" spans="7:35" ht="14.4">
      <c r="G509" s="51"/>
      <c r="I509" s="51"/>
      <c r="Z509" s="52"/>
      <c r="AF509" s="51"/>
      <c r="AG509" s="51"/>
      <c r="AH509" s="51"/>
      <c r="AI509" s="51"/>
    </row>
    <row r="510" spans="7:35" ht="14.4">
      <c r="G510" s="51"/>
      <c r="I510" s="51"/>
      <c r="Z510" s="52"/>
      <c r="AF510" s="51"/>
      <c r="AG510" s="51"/>
      <c r="AH510" s="51"/>
      <c r="AI510" s="51"/>
    </row>
    <row r="511" spans="7:35" ht="14.4">
      <c r="G511" s="51"/>
      <c r="I511" s="51"/>
      <c r="Z511" s="52"/>
      <c r="AF511" s="51"/>
      <c r="AG511" s="51"/>
      <c r="AH511" s="51"/>
      <c r="AI511" s="51"/>
    </row>
    <row r="512" spans="7:35" ht="14.4">
      <c r="G512" s="51"/>
      <c r="I512" s="51"/>
      <c r="Z512" s="52"/>
      <c r="AF512" s="51"/>
      <c r="AG512" s="51"/>
      <c r="AH512" s="51"/>
      <c r="AI512" s="51"/>
    </row>
    <row r="513" spans="7:35" ht="14.4">
      <c r="G513" s="51"/>
      <c r="I513" s="51"/>
      <c r="Z513" s="52"/>
      <c r="AF513" s="51"/>
      <c r="AG513" s="51"/>
      <c r="AH513" s="51"/>
      <c r="AI513" s="51"/>
    </row>
    <row r="514" spans="7:35" ht="14.4">
      <c r="G514" s="51"/>
      <c r="I514" s="51"/>
      <c r="Z514" s="52"/>
      <c r="AF514" s="51"/>
      <c r="AG514" s="51"/>
      <c r="AH514" s="51"/>
      <c r="AI514" s="51"/>
    </row>
    <row r="515" spans="7:35" ht="14.4">
      <c r="G515" s="51"/>
      <c r="I515" s="51"/>
      <c r="Z515" s="52"/>
      <c r="AF515" s="51"/>
      <c r="AG515" s="51"/>
      <c r="AH515" s="51"/>
      <c r="AI515" s="51"/>
    </row>
    <row r="516" spans="7:35" ht="14.4">
      <c r="G516" s="51"/>
      <c r="I516" s="51"/>
      <c r="Z516" s="52"/>
      <c r="AF516" s="51"/>
      <c r="AG516" s="51"/>
      <c r="AH516" s="51"/>
      <c r="AI516" s="51"/>
    </row>
    <row r="517" spans="7:35" ht="14.4">
      <c r="G517" s="51"/>
      <c r="I517" s="51"/>
      <c r="Z517" s="52"/>
      <c r="AF517" s="51"/>
      <c r="AG517" s="51"/>
      <c r="AH517" s="51"/>
      <c r="AI517" s="51"/>
    </row>
    <row r="518" spans="7:35" ht="14.4">
      <c r="G518" s="51"/>
      <c r="I518" s="51"/>
      <c r="Z518" s="52"/>
      <c r="AF518" s="51"/>
      <c r="AG518" s="51"/>
      <c r="AH518" s="51"/>
      <c r="AI518" s="51"/>
    </row>
    <row r="519" spans="7:35" ht="14.4">
      <c r="G519" s="51"/>
      <c r="I519" s="51"/>
      <c r="Z519" s="52"/>
      <c r="AF519" s="51"/>
      <c r="AG519" s="51"/>
      <c r="AH519" s="51"/>
      <c r="AI519" s="51"/>
    </row>
    <row r="520" spans="7:35" ht="14.4">
      <c r="G520" s="51"/>
      <c r="I520" s="51"/>
      <c r="Z520" s="52"/>
      <c r="AF520" s="51"/>
      <c r="AG520" s="51"/>
      <c r="AH520" s="51"/>
      <c r="AI520" s="51"/>
    </row>
    <row r="521" spans="7:35" ht="14.4">
      <c r="G521" s="51"/>
      <c r="I521" s="51"/>
      <c r="Z521" s="52"/>
      <c r="AF521" s="51"/>
      <c r="AG521" s="51"/>
      <c r="AH521" s="51"/>
      <c r="AI521" s="51"/>
    </row>
    <row r="522" spans="7:35" ht="14.4">
      <c r="G522" s="51"/>
      <c r="I522" s="51"/>
      <c r="Z522" s="52"/>
      <c r="AF522" s="51"/>
      <c r="AG522" s="51"/>
      <c r="AH522" s="51"/>
      <c r="AI522" s="51"/>
    </row>
    <row r="523" spans="7:35" ht="14.4">
      <c r="G523" s="51"/>
      <c r="I523" s="51"/>
      <c r="Z523" s="52"/>
      <c r="AF523" s="51"/>
      <c r="AG523" s="51"/>
      <c r="AH523" s="51"/>
      <c r="AI523" s="51"/>
    </row>
    <row r="524" spans="7:35" ht="14.4">
      <c r="G524" s="51"/>
      <c r="I524" s="51"/>
      <c r="Z524" s="52"/>
      <c r="AF524" s="51"/>
      <c r="AG524" s="51"/>
      <c r="AH524" s="51"/>
      <c r="AI524" s="51"/>
    </row>
    <row r="525" spans="7:35" ht="14.4">
      <c r="G525" s="51"/>
      <c r="I525" s="51"/>
      <c r="Z525" s="52"/>
      <c r="AF525" s="51"/>
      <c r="AG525" s="51"/>
      <c r="AH525" s="51"/>
      <c r="AI525" s="51"/>
    </row>
    <row r="526" spans="7:35" ht="14.4">
      <c r="G526" s="51"/>
      <c r="I526" s="51"/>
      <c r="Z526" s="52"/>
      <c r="AF526" s="51"/>
      <c r="AG526" s="51"/>
      <c r="AH526" s="51"/>
      <c r="AI526" s="51"/>
    </row>
    <row r="527" spans="7:35" ht="14.4">
      <c r="G527" s="51"/>
      <c r="I527" s="51"/>
      <c r="Z527" s="52"/>
      <c r="AF527" s="51"/>
      <c r="AG527" s="51"/>
      <c r="AH527" s="51"/>
      <c r="AI527" s="51"/>
    </row>
    <row r="528" spans="7:35" ht="14.4">
      <c r="G528" s="51"/>
      <c r="I528" s="51"/>
      <c r="Z528" s="52"/>
      <c r="AF528" s="51"/>
      <c r="AG528" s="51"/>
      <c r="AH528" s="51"/>
      <c r="AI528" s="51"/>
    </row>
    <row r="529" spans="7:35" ht="14.4">
      <c r="G529" s="51"/>
      <c r="I529" s="51"/>
      <c r="Z529" s="52"/>
      <c r="AF529" s="51"/>
      <c r="AG529" s="51"/>
      <c r="AH529" s="51"/>
      <c r="AI529" s="51"/>
    </row>
    <row r="530" spans="7:35" ht="14.4">
      <c r="G530" s="51"/>
      <c r="I530" s="51"/>
      <c r="Z530" s="52"/>
      <c r="AF530" s="51"/>
      <c r="AG530" s="51"/>
      <c r="AH530" s="51"/>
      <c r="AI530" s="51"/>
    </row>
    <row r="531" spans="7:35" ht="14.4">
      <c r="G531" s="51"/>
      <c r="I531" s="51"/>
      <c r="Z531" s="52"/>
      <c r="AF531" s="51"/>
      <c r="AG531" s="51"/>
      <c r="AH531" s="51"/>
      <c r="AI531" s="51"/>
    </row>
    <row r="532" spans="7:35" ht="14.4">
      <c r="G532" s="51"/>
      <c r="I532" s="51"/>
      <c r="Z532" s="52"/>
      <c r="AF532" s="51"/>
      <c r="AG532" s="51"/>
      <c r="AH532" s="51"/>
      <c r="AI532" s="51"/>
    </row>
    <row r="533" spans="7:35" ht="14.4">
      <c r="G533" s="51"/>
      <c r="I533" s="51"/>
      <c r="Z533" s="52"/>
      <c r="AF533" s="51"/>
      <c r="AG533" s="51"/>
      <c r="AH533" s="51"/>
      <c r="AI533" s="51"/>
    </row>
    <row r="534" spans="7:35" ht="14.4">
      <c r="G534" s="51"/>
      <c r="I534" s="51"/>
      <c r="Z534" s="52"/>
      <c r="AF534" s="51"/>
      <c r="AG534" s="51"/>
      <c r="AH534" s="51"/>
      <c r="AI534" s="51"/>
    </row>
    <row r="535" spans="7:35" ht="14.4">
      <c r="G535" s="51"/>
      <c r="I535" s="51"/>
      <c r="Z535" s="52"/>
      <c r="AF535" s="51"/>
      <c r="AG535" s="51"/>
      <c r="AH535" s="51"/>
      <c r="AI535" s="51"/>
    </row>
    <row r="536" spans="7:35" ht="14.4">
      <c r="G536" s="51"/>
      <c r="I536" s="51"/>
      <c r="Z536" s="52"/>
      <c r="AF536" s="51"/>
      <c r="AG536" s="51"/>
      <c r="AH536" s="51"/>
      <c r="AI536" s="51"/>
    </row>
    <row r="537" spans="7:35" ht="14.4">
      <c r="G537" s="51"/>
      <c r="I537" s="51"/>
      <c r="Z537" s="52"/>
      <c r="AF537" s="51"/>
      <c r="AG537" s="51"/>
      <c r="AH537" s="51"/>
      <c r="AI537" s="51"/>
    </row>
    <row r="538" spans="7:35" ht="14.4">
      <c r="G538" s="51"/>
      <c r="I538" s="51"/>
      <c r="Z538" s="52"/>
      <c r="AF538" s="51"/>
      <c r="AG538" s="51"/>
      <c r="AH538" s="51"/>
      <c r="AI538" s="51"/>
    </row>
    <row r="539" spans="7:35" ht="14.4">
      <c r="G539" s="51"/>
      <c r="I539" s="51"/>
      <c r="Z539" s="52"/>
      <c r="AF539" s="51"/>
      <c r="AG539" s="51"/>
      <c r="AH539" s="51"/>
      <c r="AI539" s="51"/>
    </row>
    <row r="540" spans="7:35" ht="14.4">
      <c r="G540" s="51"/>
      <c r="I540" s="51"/>
      <c r="Z540" s="52"/>
      <c r="AF540" s="51"/>
      <c r="AG540" s="51"/>
      <c r="AH540" s="51"/>
      <c r="AI540" s="51"/>
    </row>
    <row r="541" spans="7:35" ht="14.4">
      <c r="G541" s="51"/>
      <c r="I541" s="51"/>
      <c r="Z541" s="52"/>
      <c r="AF541" s="51"/>
      <c r="AG541" s="51"/>
      <c r="AH541" s="51"/>
      <c r="AI541" s="51"/>
    </row>
    <row r="542" spans="7:35" ht="14.4">
      <c r="G542" s="51"/>
      <c r="I542" s="51"/>
      <c r="Z542" s="52"/>
      <c r="AF542" s="51"/>
      <c r="AG542" s="51"/>
      <c r="AH542" s="51"/>
      <c r="AI542" s="51"/>
    </row>
    <row r="543" spans="7:35" ht="14.4">
      <c r="G543" s="51"/>
      <c r="I543" s="51"/>
      <c r="Z543" s="52"/>
      <c r="AF543" s="51"/>
      <c r="AG543" s="51"/>
      <c r="AH543" s="51"/>
      <c r="AI543" s="51"/>
    </row>
    <row r="544" spans="7:35" ht="14.4">
      <c r="G544" s="51"/>
      <c r="I544" s="51"/>
      <c r="Z544" s="52"/>
      <c r="AF544" s="51"/>
      <c r="AG544" s="51"/>
      <c r="AH544" s="51"/>
      <c r="AI544" s="51"/>
    </row>
    <row r="545" spans="7:35" ht="14.4">
      <c r="G545" s="51"/>
      <c r="I545" s="51"/>
      <c r="Z545" s="52"/>
      <c r="AF545" s="51"/>
      <c r="AG545" s="51"/>
      <c r="AH545" s="51"/>
      <c r="AI545" s="51"/>
    </row>
    <row r="546" spans="7:35" ht="14.4">
      <c r="G546" s="51"/>
      <c r="I546" s="51"/>
      <c r="Z546" s="52"/>
      <c r="AF546" s="51"/>
      <c r="AG546" s="51"/>
      <c r="AH546" s="51"/>
      <c r="AI546" s="51"/>
    </row>
    <row r="547" spans="7:35" ht="14.4">
      <c r="G547" s="51"/>
      <c r="I547" s="51"/>
      <c r="Z547" s="52"/>
      <c r="AF547" s="51"/>
      <c r="AG547" s="51"/>
      <c r="AH547" s="51"/>
      <c r="AI547" s="51"/>
    </row>
    <row r="548" spans="7:35" ht="14.4">
      <c r="G548" s="51"/>
      <c r="I548" s="51"/>
      <c r="Z548" s="52"/>
      <c r="AF548" s="51"/>
      <c r="AG548" s="51"/>
      <c r="AH548" s="51"/>
      <c r="AI548" s="51"/>
    </row>
    <row r="549" spans="7:35" ht="14.4">
      <c r="G549" s="51"/>
      <c r="I549" s="51"/>
      <c r="Z549" s="52"/>
      <c r="AF549" s="51"/>
      <c r="AG549" s="51"/>
      <c r="AH549" s="51"/>
      <c r="AI549" s="51"/>
    </row>
    <row r="550" spans="7:35" ht="14.4">
      <c r="G550" s="51"/>
      <c r="I550" s="51"/>
      <c r="Z550" s="52"/>
      <c r="AF550" s="51"/>
      <c r="AG550" s="51"/>
      <c r="AH550" s="51"/>
      <c r="AI550" s="51"/>
    </row>
    <row r="551" spans="7:35" ht="14.4">
      <c r="G551" s="51"/>
      <c r="I551" s="51"/>
      <c r="Z551" s="52"/>
      <c r="AF551" s="51"/>
      <c r="AG551" s="51"/>
      <c r="AH551" s="51"/>
      <c r="AI551" s="51"/>
    </row>
    <row r="552" spans="7:35" ht="14.4">
      <c r="G552" s="51"/>
      <c r="I552" s="51"/>
      <c r="Z552" s="52"/>
      <c r="AF552" s="51"/>
      <c r="AG552" s="51"/>
      <c r="AH552" s="51"/>
      <c r="AI552" s="51"/>
    </row>
    <row r="553" spans="7:35" ht="14.4">
      <c r="G553" s="51"/>
      <c r="I553" s="51"/>
      <c r="Z553" s="52"/>
      <c r="AF553" s="51"/>
      <c r="AG553" s="51"/>
      <c r="AH553" s="51"/>
      <c r="AI553" s="51"/>
    </row>
    <row r="554" spans="7:35" ht="14.4">
      <c r="G554" s="51"/>
      <c r="I554" s="51"/>
      <c r="Z554" s="52"/>
      <c r="AF554" s="51"/>
      <c r="AG554" s="51"/>
      <c r="AH554" s="51"/>
      <c r="AI554" s="51"/>
    </row>
    <row r="555" spans="7:35" ht="14.4">
      <c r="G555" s="51"/>
      <c r="I555" s="51"/>
      <c r="Z555" s="52"/>
      <c r="AF555" s="51"/>
      <c r="AG555" s="51"/>
      <c r="AH555" s="51"/>
      <c r="AI555" s="51"/>
    </row>
    <row r="556" spans="7:35" ht="14.4">
      <c r="G556" s="51"/>
      <c r="I556" s="51"/>
      <c r="Z556" s="52"/>
      <c r="AF556" s="51"/>
      <c r="AG556" s="51"/>
      <c r="AH556" s="51"/>
      <c r="AI556" s="51"/>
    </row>
    <row r="557" spans="7:35" ht="14.4">
      <c r="G557" s="51"/>
      <c r="I557" s="51"/>
      <c r="Z557" s="52"/>
      <c r="AF557" s="51"/>
      <c r="AG557" s="51"/>
      <c r="AH557" s="51"/>
      <c r="AI557" s="51"/>
    </row>
    <row r="558" spans="7:35" ht="14.4">
      <c r="G558" s="51"/>
      <c r="I558" s="51"/>
      <c r="Z558" s="52"/>
      <c r="AF558" s="51"/>
      <c r="AG558" s="51"/>
      <c r="AH558" s="51"/>
      <c r="AI558" s="51"/>
    </row>
    <row r="559" spans="7:35" ht="14.4">
      <c r="G559" s="51"/>
      <c r="I559" s="51"/>
      <c r="Z559" s="52"/>
      <c r="AF559" s="51"/>
      <c r="AG559" s="51"/>
      <c r="AH559" s="51"/>
      <c r="AI559" s="51"/>
    </row>
    <row r="560" spans="7:35" ht="14.4">
      <c r="G560" s="51"/>
      <c r="I560" s="51"/>
      <c r="Z560" s="52"/>
      <c r="AF560" s="51"/>
      <c r="AG560" s="51"/>
      <c r="AH560" s="51"/>
      <c r="AI560" s="51"/>
    </row>
    <row r="561" spans="7:35" ht="14.4">
      <c r="G561" s="51"/>
      <c r="I561" s="51"/>
      <c r="Z561" s="52"/>
      <c r="AF561" s="51"/>
      <c r="AG561" s="51"/>
      <c r="AH561" s="51"/>
      <c r="AI561" s="51"/>
    </row>
    <row r="562" spans="7:35" ht="14.4">
      <c r="G562" s="51"/>
      <c r="I562" s="51"/>
      <c r="Z562" s="52"/>
      <c r="AF562" s="51"/>
      <c r="AG562" s="51"/>
      <c r="AH562" s="51"/>
      <c r="AI562" s="51"/>
    </row>
    <row r="563" spans="7:35" ht="14.4">
      <c r="G563" s="51"/>
      <c r="I563" s="51"/>
      <c r="Z563" s="52"/>
      <c r="AF563" s="51"/>
      <c r="AG563" s="51"/>
      <c r="AH563" s="51"/>
      <c r="AI563" s="51"/>
    </row>
    <row r="564" spans="7:35" ht="14.4">
      <c r="G564" s="51"/>
      <c r="I564" s="51"/>
      <c r="Z564" s="52"/>
      <c r="AF564" s="51"/>
      <c r="AG564" s="51"/>
      <c r="AH564" s="51"/>
      <c r="AI564" s="51"/>
    </row>
    <row r="565" spans="7:35" ht="14.4">
      <c r="G565" s="51"/>
      <c r="I565" s="51"/>
      <c r="Z565" s="52"/>
      <c r="AF565" s="51"/>
      <c r="AG565" s="51"/>
      <c r="AH565" s="51"/>
      <c r="AI565" s="51"/>
    </row>
    <row r="566" spans="7:35" ht="14.4">
      <c r="G566" s="51"/>
      <c r="I566" s="51"/>
      <c r="Z566" s="52"/>
      <c r="AF566" s="51"/>
      <c r="AG566" s="51"/>
      <c r="AH566" s="51"/>
      <c r="AI566" s="51"/>
    </row>
    <row r="567" spans="7:35" ht="14.4">
      <c r="G567" s="51"/>
      <c r="I567" s="51"/>
      <c r="Z567" s="52"/>
      <c r="AF567" s="51"/>
      <c r="AG567" s="51"/>
      <c r="AH567" s="51"/>
      <c r="AI567" s="51"/>
    </row>
    <row r="568" spans="7:35" ht="14.4">
      <c r="G568" s="51"/>
      <c r="I568" s="51"/>
      <c r="Z568" s="52"/>
      <c r="AF568" s="51"/>
      <c r="AG568" s="51"/>
      <c r="AH568" s="51"/>
      <c r="AI568" s="51"/>
    </row>
    <row r="569" spans="7:35" ht="14.4">
      <c r="G569" s="51"/>
      <c r="I569" s="51"/>
      <c r="Z569" s="52"/>
      <c r="AF569" s="51"/>
      <c r="AG569" s="51"/>
      <c r="AH569" s="51"/>
      <c r="AI569" s="51"/>
    </row>
    <row r="570" spans="7:35" ht="14.4">
      <c r="G570" s="51"/>
      <c r="I570" s="51"/>
      <c r="Z570" s="52"/>
      <c r="AF570" s="51"/>
      <c r="AG570" s="51"/>
      <c r="AH570" s="51"/>
      <c r="AI570" s="51"/>
    </row>
    <row r="571" spans="7:35" ht="14.4">
      <c r="G571" s="51"/>
      <c r="I571" s="51"/>
      <c r="Z571" s="52"/>
      <c r="AF571" s="51"/>
      <c r="AG571" s="51"/>
      <c r="AH571" s="51"/>
      <c r="AI571" s="51"/>
    </row>
    <row r="572" spans="7:35" ht="14.4">
      <c r="G572" s="51"/>
      <c r="I572" s="51"/>
      <c r="Z572" s="52"/>
      <c r="AF572" s="51"/>
      <c r="AG572" s="51"/>
      <c r="AH572" s="51"/>
      <c r="AI572" s="51"/>
    </row>
    <row r="573" spans="7:35" ht="14.4">
      <c r="G573" s="51"/>
      <c r="I573" s="51"/>
      <c r="Z573" s="52"/>
      <c r="AF573" s="51"/>
      <c r="AG573" s="51"/>
      <c r="AH573" s="51"/>
      <c r="AI573" s="51"/>
    </row>
    <row r="574" spans="7:35" ht="14.4">
      <c r="G574" s="51"/>
      <c r="I574" s="51"/>
      <c r="Z574" s="52"/>
      <c r="AF574" s="51"/>
      <c r="AG574" s="51"/>
      <c r="AH574" s="51"/>
      <c r="AI574" s="51"/>
    </row>
    <row r="575" spans="7:35" ht="14.4">
      <c r="G575" s="51"/>
      <c r="I575" s="51"/>
      <c r="Z575" s="52"/>
      <c r="AF575" s="51"/>
      <c r="AG575" s="51"/>
      <c r="AH575" s="51"/>
      <c r="AI575" s="51"/>
    </row>
    <row r="576" spans="7:35" ht="14.4">
      <c r="G576" s="51"/>
      <c r="I576" s="51"/>
      <c r="Z576" s="52"/>
      <c r="AF576" s="51"/>
      <c r="AG576" s="51"/>
      <c r="AH576" s="51"/>
      <c r="AI576" s="51"/>
    </row>
    <row r="577" spans="7:35" ht="14.4">
      <c r="G577" s="51"/>
      <c r="I577" s="51"/>
      <c r="Z577" s="52"/>
      <c r="AF577" s="51"/>
      <c r="AG577" s="51"/>
      <c r="AH577" s="51"/>
      <c r="AI577" s="51"/>
    </row>
    <row r="578" spans="7:35" ht="14.4">
      <c r="G578" s="51"/>
      <c r="I578" s="51"/>
      <c r="Z578" s="52"/>
      <c r="AF578" s="51"/>
      <c r="AG578" s="51"/>
      <c r="AH578" s="51"/>
      <c r="AI578" s="51"/>
    </row>
    <row r="579" spans="7:35" ht="14.4">
      <c r="G579" s="51"/>
      <c r="I579" s="51"/>
      <c r="Z579" s="52"/>
      <c r="AF579" s="51"/>
      <c r="AG579" s="51"/>
      <c r="AH579" s="51"/>
      <c r="AI579" s="51"/>
    </row>
    <row r="580" spans="7:35" ht="14.4">
      <c r="G580" s="51"/>
      <c r="I580" s="51"/>
      <c r="Z580" s="52"/>
      <c r="AF580" s="51"/>
      <c r="AG580" s="51"/>
      <c r="AH580" s="51"/>
      <c r="AI580" s="51"/>
    </row>
    <row r="581" spans="7:35" ht="14.4">
      <c r="G581" s="51"/>
      <c r="I581" s="51"/>
      <c r="Z581" s="52"/>
      <c r="AF581" s="51"/>
      <c r="AG581" s="51"/>
      <c r="AH581" s="51"/>
      <c r="AI581" s="51"/>
    </row>
    <row r="582" spans="7:35" ht="14.4">
      <c r="G582" s="51"/>
      <c r="I582" s="51"/>
      <c r="Z582" s="52"/>
      <c r="AF582" s="51"/>
      <c r="AG582" s="51"/>
      <c r="AH582" s="51"/>
      <c r="AI582" s="51"/>
    </row>
    <row r="583" spans="7:35" ht="14.4">
      <c r="G583" s="51"/>
      <c r="I583" s="51"/>
      <c r="Z583" s="52"/>
      <c r="AF583" s="51"/>
      <c r="AG583" s="51"/>
      <c r="AH583" s="51"/>
      <c r="AI583" s="51"/>
    </row>
    <row r="584" spans="7:35" ht="14.4">
      <c r="G584" s="51"/>
      <c r="I584" s="51"/>
      <c r="Z584" s="52"/>
      <c r="AF584" s="51"/>
      <c r="AG584" s="51"/>
      <c r="AH584" s="51"/>
      <c r="AI584" s="51"/>
    </row>
    <row r="585" spans="7:35" ht="14.4">
      <c r="G585" s="51"/>
      <c r="I585" s="51"/>
      <c r="Z585" s="52"/>
      <c r="AF585" s="51"/>
      <c r="AG585" s="51"/>
      <c r="AH585" s="51"/>
      <c r="AI585" s="51"/>
    </row>
    <row r="586" spans="7:35" ht="14.4">
      <c r="G586" s="51"/>
      <c r="I586" s="51"/>
      <c r="Z586" s="52"/>
      <c r="AF586" s="51"/>
      <c r="AG586" s="51"/>
      <c r="AH586" s="51"/>
      <c r="AI586" s="51"/>
    </row>
    <row r="587" spans="7:35" ht="14.4">
      <c r="G587" s="51"/>
      <c r="I587" s="51"/>
      <c r="Z587" s="52"/>
      <c r="AF587" s="51"/>
      <c r="AG587" s="51"/>
      <c r="AH587" s="51"/>
      <c r="AI587" s="51"/>
    </row>
    <row r="588" spans="7:35" ht="14.4">
      <c r="G588" s="51"/>
      <c r="I588" s="51"/>
      <c r="Z588" s="52"/>
      <c r="AF588" s="51"/>
      <c r="AG588" s="51"/>
      <c r="AH588" s="51"/>
      <c r="AI588" s="51"/>
    </row>
    <row r="589" spans="7:35" ht="14.4">
      <c r="G589" s="51"/>
      <c r="I589" s="51"/>
      <c r="Z589" s="52"/>
      <c r="AF589" s="51"/>
      <c r="AG589" s="51"/>
      <c r="AH589" s="51"/>
      <c r="AI589" s="51"/>
    </row>
    <row r="590" spans="7:35" ht="14.4">
      <c r="G590" s="51"/>
      <c r="I590" s="51"/>
      <c r="Z590" s="52"/>
      <c r="AF590" s="51"/>
      <c r="AG590" s="51"/>
      <c r="AH590" s="51"/>
      <c r="AI590" s="51"/>
    </row>
    <row r="591" spans="7:35" ht="14.4">
      <c r="G591" s="51"/>
      <c r="I591" s="51"/>
      <c r="Z591" s="52"/>
      <c r="AF591" s="51"/>
      <c r="AG591" s="51"/>
      <c r="AH591" s="51"/>
      <c r="AI591" s="51"/>
    </row>
    <row r="592" spans="7:35" ht="14.4">
      <c r="G592" s="51"/>
      <c r="I592" s="51"/>
      <c r="Z592" s="52"/>
      <c r="AF592" s="51"/>
      <c r="AG592" s="51"/>
      <c r="AH592" s="51"/>
      <c r="AI592" s="51"/>
    </row>
    <row r="593" spans="7:35" ht="14.4">
      <c r="G593" s="51"/>
      <c r="I593" s="51"/>
      <c r="Z593" s="52"/>
      <c r="AF593" s="51"/>
      <c r="AG593" s="51"/>
      <c r="AH593" s="51"/>
      <c r="AI593" s="51"/>
    </row>
    <row r="594" spans="7:35" ht="14.4">
      <c r="G594" s="51"/>
      <c r="I594" s="51"/>
      <c r="Z594" s="52"/>
      <c r="AF594" s="51"/>
      <c r="AG594" s="51"/>
      <c r="AH594" s="51"/>
      <c r="AI594" s="51"/>
    </row>
    <row r="595" spans="7:35" ht="14.4">
      <c r="G595" s="51"/>
      <c r="I595" s="51"/>
      <c r="Z595" s="52"/>
      <c r="AF595" s="51"/>
      <c r="AG595" s="51"/>
      <c r="AH595" s="51"/>
      <c r="AI595" s="51"/>
    </row>
    <row r="596" spans="7:35" ht="14.4">
      <c r="G596" s="51"/>
      <c r="I596" s="51"/>
      <c r="Z596" s="52"/>
      <c r="AF596" s="51"/>
      <c r="AG596" s="51"/>
      <c r="AH596" s="51"/>
      <c r="AI596" s="51"/>
    </row>
    <row r="597" spans="7:35" ht="14.4">
      <c r="G597" s="51"/>
      <c r="I597" s="51"/>
      <c r="Z597" s="52"/>
      <c r="AF597" s="51"/>
      <c r="AG597" s="51"/>
      <c r="AH597" s="51"/>
      <c r="AI597" s="51"/>
    </row>
    <row r="598" spans="7:35" ht="14.4">
      <c r="G598" s="51"/>
      <c r="I598" s="51"/>
      <c r="Z598" s="52"/>
      <c r="AF598" s="51"/>
      <c r="AG598" s="51"/>
      <c r="AH598" s="51"/>
      <c r="AI598" s="51"/>
    </row>
    <row r="599" spans="7:35" ht="14.4">
      <c r="G599" s="51"/>
      <c r="I599" s="51"/>
      <c r="Z599" s="52"/>
      <c r="AF599" s="51"/>
      <c r="AG599" s="51"/>
      <c r="AH599" s="51"/>
      <c r="AI599" s="51"/>
    </row>
    <row r="600" spans="7:35" ht="14.4">
      <c r="G600" s="51"/>
      <c r="I600" s="51"/>
      <c r="Z600" s="52"/>
      <c r="AF600" s="51"/>
      <c r="AG600" s="51"/>
      <c r="AH600" s="51"/>
      <c r="AI600" s="51"/>
    </row>
    <row r="601" spans="7:35" ht="14.4">
      <c r="G601" s="51"/>
      <c r="I601" s="51"/>
      <c r="Z601" s="52"/>
      <c r="AF601" s="51"/>
      <c r="AG601" s="51"/>
      <c r="AH601" s="51"/>
      <c r="AI601" s="51"/>
    </row>
    <row r="602" spans="7:35" ht="14.4">
      <c r="G602" s="51"/>
      <c r="I602" s="51"/>
      <c r="Z602" s="52"/>
      <c r="AF602" s="51"/>
      <c r="AG602" s="51"/>
      <c r="AH602" s="51"/>
      <c r="AI602" s="51"/>
    </row>
    <row r="603" spans="7:35" ht="14.4">
      <c r="G603" s="51"/>
      <c r="I603" s="51"/>
      <c r="Z603" s="52"/>
      <c r="AF603" s="51"/>
      <c r="AG603" s="51"/>
      <c r="AH603" s="51"/>
      <c r="AI603" s="51"/>
    </row>
    <row r="604" spans="7:35" ht="14.4">
      <c r="G604" s="51"/>
      <c r="I604" s="51"/>
      <c r="Z604" s="52"/>
      <c r="AF604" s="51"/>
      <c r="AG604" s="51"/>
      <c r="AH604" s="51"/>
      <c r="AI604" s="51"/>
    </row>
    <row r="605" spans="7:35" ht="14.4">
      <c r="G605" s="51"/>
      <c r="I605" s="51"/>
      <c r="Z605" s="52"/>
      <c r="AF605" s="51"/>
      <c r="AG605" s="51"/>
      <c r="AH605" s="51"/>
      <c r="AI605" s="51"/>
    </row>
    <row r="606" spans="7:35" ht="14.4">
      <c r="G606" s="51"/>
      <c r="I606" s="51"/>
      <c r="Z606" s="52"/>
      <c r="AF606" s="51"/>
      <c r="AG606" s="51"/>
      <c r="AH606" s="51"/>
      <c r="AI606" s="51"/>
    </row>
    <row r="607" spans="7:35" ht="14.4">
      <c r="G607" s="51"/>
      <c r="I607" s="51"/>
      <c r="Z607" s="52"/>
      <c r="AF607" s="51"/>
      <c r="AG607" s="51"/>
      <c r="AH607" s="51"/>
      <c r="AI607" s="51"/>
    </row>
    <row r="608" spans="7:35" ht="14.4">
      <c r="G608" s="51"/>
      <c r="I608" s="51"/>
      <c r="Z608" s="52"/>
      <c r="AF608" s="51"/>
      <c r="AG608" s="51"/>
      <c r="AH608" s="51"/>
      <c r="AI608" s="51"/>
    </row>
    <row r="609" spans="7:35" ht="14.4">
      <c r="G609" s="51"/>
      <c r="I609" s="51"/>
      <c r="Z609" s="52"/>
      <c r="AF609" s="51"/>
      <c r="AG609" s="51"/>
      <c r="AH609" s="51"/>
      <c r="AI609" s="51"/>
    </row>
    <row r="610" spans="7:35" ht="14.4">
      <c r="G610" s="51"/>
      <c r="I610" s="51"/>
      <c r="Z610" s="52"/>
      <c r="AF610" s="51"/>
      <c r="AG610" s="51"/>
      <c r="AH610" s="51"/>
      <c r="AI610" s="51"/>
    </row>
    <row r="611" spans="7:35" ht="14.4">
      <c r="G611" s="51"/>
      <c r="I611" s="51"/>
      <c r="Z611" s="52"/>
      <c r="AF611" s="51"/>
      <c r="AG611" s="51"/>
      <c r="AH611" s="51"/>
      <c r="AI611" s="51"/>
    </row>
    <row r="612" spans="7:35" ht="14.4">
      <c r="G612" s="51"/>
      <c r="I612" s="51"/>
      <c r="Z612" s="52"/>
      <c r="AF612" s="51"/>
      <c r="AG612" s="51"/>
      <c r="AH612" s="51"/>
      <c r="AI612" s="51"/>
    </row>
    <row r="613" spans="7:35" ht="14.4">
      <c r="G613" s="51"/>
      <c r="I613" s="51"/>
      <c r="Z613" s="52"/>
      <c r="AF613" s="51"/>
      <c r="AG613" s="51"/>
      <c r="AH613" s="51"/>
      <c r="AI613" s="51"/>
    </row>
    <row r="614" spans="7:35" ht="14.4">
      <c r="G614" s="51"/>
      <c r="I614" s="51"/>
      <c r="Z614" s="52"/>
      <c r="AF614" s="51"/>
      <c r="AG614" s="51"/>
      <c r="AH614" s="51"/>
      <c r="AI614" s="51"/>
    </row>
    <row r="615" spans="7:35" ht="14.4">
      <c r="G615" s="51"/>
      <c r="I615" s="51"/>
      <c r="Z615" s="52"/>
      <c r="AF615" s="51"/>
      <c r="AG615" s="51"/>
      <c r="AH615" s="51"/>
      <c r="AI615" s="51"/>
    </row>
    <row r="616" spans="7:35" ht="14.4">
      <c r="G616" s="51"/>
      <c r="I616" s="51"/>
      <c r="Z616" s="52"/>
      <c r="AF616" s="51"/>
      <c r="AG616" s="51"/>
      <c r="AH616" s="51"/>
      <c r="AI616" s="51"/>
    </row>
    <row r="617" spans="7:35" ht="14.4">
      <c r="G617" s="51"/>
      <c r="I617" s="51"/>
      <c r="Z617" s="52"/>
      <c r="AF617" s="51"/>
      <c r="AG617" s="51"/>
      <c r="AH617" s="51"/>
      <c r="AI617" s="51"/>
    </row>
    <row r="618" spans="7:35" ht="14.4">
      <c r="G618" s="51"/>
      <c r="I618" s="51"/>
      <c r="Z618" s="52"/>
      <c r="AF618" s="51"/>
      <c r="AG618" s="51"/>
      <c r="AH618" s="51"/>
      <c r="AI618" s="51"/>
    </row>
    <row r="619" spans="7:35" ht="14.4">
      <c r="G619" s="51"/>
      <c r="I619" s="51"/>
      <c r="Z619" s="52"/>
      <c r="AF619" s="51"/>
      <c r="AG619" s="51"/>
      <c r="AH619" s="51"/>
      <c r="AI619" s="51"/>
    </row>
    <row r="620" spans="7:35" ht="14.4">
      <c r="G620" s="51"/>
      <c r="I620" s="51"/>
      <c r="Z620" s="52"/>
      <c r="AF620" s="51"/>
      <c r="AG620" s="51"/>
      <c r="AH620" s="51"/>
      <c r="AI620" s="51"/>
    </row>
    <row r="621" spans="7:35" ht="14.4">
      <c r="G621" s="51"/>
      <c r="I621" s="51"/>
      <c r="Z621" s="52"/>
      <c r="AF621" s="51"/>
      <c r="AG621" s="51"/>
      <c r="AH621" s="51"/>
      <c r="AI621" s="51"/>
    </row>
    <row r="622" spans="7:35" ht="14.4">
      <c r="G622" s="51"/>
      <c r="I622" s="51"/>
      <c r="Z622" s="52"/>
      <c r="AF622" s="51"/>
      <c r="AG622" s="51"/>
      <c r="AH622" s="51"/>
      <c r="AI622" s="51"/>
    </row>
    <row r="623" spans="7:35" ht="14.4">
      <c r="G623" s="51"/>
      <c r="I623" s="51"/>
      <c r="Z623" s="52"/>
      <c r="AF623" s="51"/>
      <c r="AG623" s="51"/>
      <c r="AH623" s="51"/>
      <c r="AI623" s="51"/>
    </row>
    <row r="624" spans="7:35" ht="14.4">
      <c r="G624" s="51"/>
      <c r="I624" s="51"/>
      <c r="Z624" s="52"/>
      <c r="AF624" s="51"/>
      <c r="AG624" s="51"/>
      <c r="AH624" s="51"/>
      <c r="AI624" s="51"/>
    </row>
    <row r="625" spans="7:35" ht="14.4">
      <c r="G625" s="51"/>
      <c r="I625" s="51"/>
      <c r="Z625" s="52"/>
      <c r="AF625" s="51"/>
      <c r="AG625" s="51"/>
      <c r="AH625" s="51"/>
      <c r="AI625" s="51"/>
    </row>
    <row r="626" spans="7:35" ht="14.4">
      <c r="G626" s="51"/>
      <c r="I626" s="51"/>
      <c r="Z626" s="52"/>
      <c r="AF626" s="51"/>
      <c r="AG626" s="51"/>
      <c r="AH626" s="51"/>
      <c r="AI626" s="51"/>
    </row>
    <row r="627" spans="7:35" ht="14.4">
      <c r="G627" s="51"/>
      <c r="I627" s="51"/>
      <c r="Z627" s="52"/>
      <c r="AF627" s="51"/>
      <c r="AG627" s="51"/>
      <c r="AH627" s="51"/>
      <c r="AI627" s="51"/>
    </row>
    <row r="628" spans="7:35" ht="14.4">
      <c r="G628" s="51"/>
      <c r="I628" s="51"/>
      <c r="Z628" s="52"/>
      <c r="AF628" s="51"/>
      <c r="AG628" s="51"/>
      <c r="AH628" s="51"/>
      <c r="AI628" s="51"/>
    </row>
    <row r="629" spans="7:35" ht="14.4">
      <c r="G629" s="51"/>
      <c r="I629" s="51"/>
      <c r="Z629" s="52"/>
      <c r="AF629" s="51"/>
      <c r="AG629" s="51"/>
      <c r="AH629" s="51"/>
      <c r="AI629" s="51"/>
    </row>
    <row r="630" spans="7:35" ht="14.4">
      <c r="G630" s="51"/>
      <c r="I630" s="51"/>
      <c r="Z630" s="52"/>
      <c r="AF630" s="51"/>
      <c r="AG630" s="51"/>
      <c r="AH630" s="51"/>
      <c r="AI630" s="51"/>
    </row>
    <row r="631" spans="7:35" ht="14.4">
      <c r="G631" s="51"/>
      <c r="I631" s="51"/>
      <c r="Z631" s="52"/>
      <c r="AF631" s="51"/>
      <c r="AG631" s="51"/>
      <c r="AH631" s="51"/>
      <c r="AI631" s="51"/>
    </row>
    <row r="632" spans="7:35" ht="14.4">
      <c r="G632" s="51"/>
      <c r="I632" s="51"/>
      <c r="Z632" s="52"/>
      <c r="AF632" s="51"/>
      <c r="AG632" s="51"/>
      <c r="AH632" s="51"/>
      <c r="AI632" s="51"/>
    </row>
    <row r="633" spans="7:35" ht="14.4">
      <c r="G633" s="51"/>
      <c r="I633" s="51"/>
      <c r="Z633" s="52"/>
      <c r="AF633" s="51"/>
      <c r="AG633" s="51"/>
      <c r="AH633" s="51"/>
      <c r="AI633" s="51"/>
    </row>
    <row r="634" spans="7:35" ht="14.4">
      <c r="G634" s="51"/>
      <c r="I634" s="51"/>
      <c r="Z634" s="52"/>
      <c r="AF634" s="51"/>
      <c r="AG634" s="51"/>
      <c r="AH634" s="51"/>
      <c r="AI634" s="51"/>
    </row>
    <row r="635" spans="7:35" ht="14.4">
      <c r="G635" s="51"/>
      <c r="I635" s="51"/>
      <c r="Z635" s="52"/>
      <c r="AF635" s="51"/>
      <c r="AG635" s="51"/>
      <c r="AH635" s="51"/>
      <c r="AI635" s="51"/>
    </row>
    <row r="636" spans="7:35" ht="14.4">
      <c r="G636" s="51"/>
      <c r="I636" s="51"/>
      <c r="Z636" s="52"/>
      <c r="AF636" s="51"/>
      <c r="AG636" s="51"/>
      <c r="AH636" s="51"/>
      <c r="AI636" s="51"/>
    </row>
    <row r="637" spans="7:35" ht="14.4">
      <c r="G637" s="51"/>
      <c r="I637" s="51"/>
      <c r="Z637" s="52"/>
      <c r="AF637" s="51"/>
      <c r="AG637" s="51"/>
      <c r="AH637" s="51"/>
      <c r="AI637" s="51"/>
    </row>
    <row r="638" spans="7:35" ht="14.4">
      <c r="G638" s="51"/>
      <c r="I638" s="51"/>
      <c r="Z638" s="52"/>
      <c r="AF638" s="51"/>
      <c r="AG638" s="51"/>
      <c r="AH638" s="51"/>
      <c r="AI638" s="51"/>
    </row>
    <row r="639" spans="7:35" ht="14.4">
      <c r="G639" s="51"/>
      <c r="I639" s="51"/>
      <c r="Z639" s="52"/>
      <c r="AF639" s="51"/>
      <c r="AG639" s="51"/>
      <c r="AH639" s="51"/>
      <c r="AI639" s="51"/>
    </row>
    <row r="640" spans="7:35" ht="14.4">
      <c r="G640" s="51"/>
      <c r="I640" s="51"/>
      <c r="Z640" s="52"/>
      <c r="AF640" s="51"/>
      <c r="AG640" s="51"/>
      <c r="AH640" s="51"/>
      <c r="AI640" s="51"/>
    </row>
    <row r="641" spans="7:35" ht="14.4">
      <c r="G641" s="51"/>
      <c r="I641" s="51"/>
      <c r="Z641" s="52"/>
      <c r="AF641" s="51"/>
      <c r="AG641" s="51"/>
      <c r="AH641" s="51"/>
      <c r="AI641" s="51"/>
    </row>
    <row r="642" spans="7:35" ht="14.4">
      <c r="G642" s="51"/>
      <c r="I642" s="51"/>
      <c r="Z642" s="52"/>
      <c r="AF642" s="51"/>
      <c r="AG642" s="51"/>
      <c r="AH642" s="51"/>
      <c r="AI642" s="51"/>
    </row>
    <row r="643" spans="7:35" ht="14.4">
      <c r="G643" s="51"/>
      <c r="I643" s="51"/>
      <c r="Z643" s="52"/>
      <c r="AF643" s="51"/>
      <c r="AG643" s="51"/>
      <c r="AH643" s="51"/>
      <c r="AI643" s="51"/>
    </row>
    <row r="644" spans="7:35" ht="14.4">
      <c r="G644" s="51"/>
      <c r="I644" s="51"/>
      <c r="Z644" s="52"/>
      <c r="AF644" s="51"/>
      <c r="AG644" s="51"/>
      <c r="AH644" s="51"/>
      <c r="AI644" s="51"/>
    </row>
    <row r="645" spans="7:35" ht="14.4">
      <c r="G645" s="51"/>
      <c r="I645" s="51"/>
      <c r="Z645" s="52"/>
      <c r="AF645" s="51"/>
      <c r="AG645" s="51"/>
      <c r="AH645" s="51"/>
      <c r="AI645" s="51"/>
    </row>
    <row r="646" spans="7:35" ht="14.4">
      <c r="G646" s="51"/>
      <c r="I646" s="51"/>
      <c r="Z646" s="52"/>
      <c r="AF646" s="51"/>
      <c r="AG646" s="51"/>
      <c r="AH646" s="51"/>
      <c r="AI646" s="51"/>
    </row>
    <row r="647" spans="7:35" ht="14.4">
      <c r="G647" s="51"/>
      <c r="I647" s="51"/>
      <c r="Z647" s="52"/>
      <c r="AF647" s="51"/>
      <c r="AG647" s="51"/>
      <c r="AH647" s="51"/>
      <c r="AI647" s="51"/>
    </row>
    <row r="648" spans="7:35" ht="14.4">
      <c r="G648" s="51"/>
      <c r="I648" s="51"/>
      <c r="Z648" s="52"/>
      <c r="AF648" s="51"/>
      <c r="AG648" s="51"/>
      <c r="AH648" s="51"/>
      <c r="AI648" s="51"/>
    </row>
    <row r="649" spans="7:35" ht="14.4">
      <c r="G649" s="51"/>
      <c r="I649" s="51"/>
      <c r="Z649" s="52"/>
      <c r="AF649" s="51"/>
      <c r="AG649" s="51"/>
      <c r="AH649" s="51"/>
      <c r="AI649" s="51"/>
    </row>
    <row r="650" spans="7:35" ht="14.4">
      <c r="G650" s="51"/>
      <c r="I650" s="51"/>
      <c r="Z650" s="52"/>
      <c r="AF650" s="51"/>
      <c r="AG650" s="51"/>
      <c r="AH650" s="51"/>
      <c r="AI650" s="51"/>
    </row>
    <row r="651" spans="7:35" ht="14.4">
      <c r="G651" s="51"/>
      <c r="I651" s="51"/>
      <c r="Z651" s="52"/>
      <c r="AF651" s="51"/>
      <c r="AG651" s="51"/>
      <c r="AH651" s="51"/>
      <c r="AI651" s="51"/>
    </row>
    <row r="652" spans="7:35" ht="14.4">
      <c r="G652" s="51"/>
      <c r="I652" s="51"/>
      <c r="Z652" s="52"/>
      <c r="AF652" s="51"/>
      <c r="AG652" s="51"/>
      <c r="AH652" s="51"/>
      <c r="AI652" s="51"/>
    </row>
    <row r="653" spans="7:35" ht="14.4">
      <c r="G653" s="51"/>
      <c r="I653" s="51"/>
      <c r="Z653" s="52"/>
      <c r="AF653" s="51"/>
      <c r="AG653" s="51"/>
      <c r="AH653" s="51"/>
      <c r="AI653" s="51"/>
    </row>
    <row r="654" spans="7:35" ht="14.4">
      <c r="G654" s="51"/>
      <c r="I654" s="51"/>
      <c r="Z654" s="52"/>
      <c r="AF654" s="51"/>
      <c r="AG654" s="51"/>
      <c r="AH654" s="51"/>
      <c r="AI654" s="51"/>
    </row>
    <row r="655" spans="7:35" ht="14.4">
      <c r="G655" s="51"/>
      <c r="I655" s="51"/>
      <c r="Z655" s="52"/>
      <c r="AF655" s="51"/>
      <c r="AG655" s="51"/>
      <c r="AH655" s="51"/>
      <c r="AI655" s="51"/>
    </row>
    <row r="656" spans="7:35" ht="14.4">
      <c r="G656" s="51"/>
      <c r="I656" s="51"/>
      <c r="Z656" s="52"/>
      <c r="AF656" s="51"/>
      <c r="AG656" s="51"/>
      <c r="AH656" s="51"/>
      <c r="AI656" s="51"/>
    </row>
    <row r="657" spans="7:35" ht="14.4">
      <c r="G657" s="51"/>
      <c r="I657" s="51"/>
      <c r="Z657" s="52"/>
      <c r="AF657" s="51"/>
      <c r="AG657" s="51"/>
      <c r="AH657" s="51"/>
      <c r="AI657" s="51"/>
    </row>
    <row r="658" spans="7:35" ht="14.4">
      <c r="G658" s="51"/>
      <c r="I658" s="51"/>
      <c r="Z658" s="52"/>
      <c r="AF658" s="51"/>
      <c r="AG658" s="51"/>
      <c r="AH658" s="51"/>
      <c r="AI658" s="51"/>
    </row>
    <row r="659" spans="7:35" ht="14.4">
      <c r="G659" s="51"/>
      <c r="I659" s="51"/>
      <c r="Z659" s="52"/>
      <c r="AF659" s="51"/>
      <c r="AG659" s="51"/>
      <c r="AH659" s="51"/>
      <c r="AI659" s="51"/>
    </row>
    <row r="660" spans="7:35" ht="14.4">
      <c r="G660" s="51"/>
      <c r="I660" s="51"/>
      <c r="Z660" s="52"/>
      <c r="AF660" s="51"/>
      <c r="AG660" s="51"/>
      <c r="AH660" s="51"/>
      <c r="AI660" s="51"/>
    </row>
    <row r="661" spans="7:35" ht="14.4">
      <c r="G661" s="51"/>
      <c r="I661" s="51"/>
      <c r="Z661" s="52"/>
      <c r="AF661" s="51"/>
      <c r="AG661" s="51"/>
      <c r="AH661" s="51"/>
      <c r="AI661" s="51"/>
    </row>
    <row r="662" spans="7:35" ht="14.4">
      <c r="G662" s="51"/>
      <c r="I662" s="51"/>
      <c r="Z662" s="52"/>
      <c r="AF662" s="51"/>
      <c r="AG662" s="51"/>
      <c r="AH662" s="51"/>
      <c r="AI662" s="51"/>
    </row>
    <row r="663" spans="7:35" ht="14.4">
      <c r="G663" s="51"/>
      <c r="I663" s="51"/>
      <c r="Z663" s="52"/>
      <c r="AF663" s="51"/>
      <c r="AG663" s="51"/>
      <c r="AH663" s="51"/>
      <c r="AI663" s="51"/>
    </row>
    <row r="664" spans="7:35" ht="14.4">
      <c r="G664" s="51"/>
      <c r="I664" s="51"/>
      <c r="Z664" s="52"/>
      <c r="AF664" s="51"/>
      <c r="AG664" s="51"/>
      <c r="AH664" s="51"/>
      <c r="AI664" s="51"/>
    </row>
    <row r="665" spans="7:35" ht="14.4">
      <c r="G665" s="51"/>
      <c r="I665" s="51"/>
      <c r="Z665" s="52"/>
      <c r="AF665" s="51"/>
      <c r="AG665" s="51"/>
      <c r="AH665" s="51"/>
      <c r="AI665" s="51"/>
    </row>
    <row r="666" spans="7:35" ht="14.4">
      <c r="G666" s="51"/>
      <c r="I666" s="51"/>
      <c r="Z666" s="52"/>
      <c r="AF666" s="51"/>
      <c r="AG666" s="51"/>
      <c r="AH666" s="51"/>
      <c r="AI666" s="51"/>
    </row>
    <row r="667" spans="7:35" ht="14.4">
      <c r="G667" s="51"/>
      <c r="I667" s="51"/>
      <c r="Z667" s="52"/>
      <c r="AF667" s="51"/>
      <c r="AG667" s="51"/>
      <c r="AH667" s="51"/>
      <c r="AI667" s="51"/>
    </row>
    <row r="668" spans="7:35" ht="14.4">
      <c r="G668" s="51"/>
      <c r="I668" s="51"/>
      <c r="Z668" s="52"/>
      <c r="AF668" s="51"/>
      <c r="AG668" s="51"/>
      <c r="AH668" s="51"/>
      <c r="AI668" s="51"/>
    </row>
    <row r="669" spans="7:35" ht="14.4">
      <c r="G669" s="51"/>
      <c r="I669" s="51"/>
      <c r="Z669" s="52"/>
      <c r="AF669" s="51"/>
      <c r="AG669" s="51"/>
      <c r="AH669" s="51"/>
      <c r="AI669" s="51"/>
    </row>
    <row r="670" spans="7:35" ht="14.4">
      <c r="G670" s="51"/>
      <c r="I670" s="51"/>
      <c r="Z670" s="52"/>
      <c r="AF670" s="51"/>
      <c r="AG670" s="51"/>
      <c r="AH670" s="51"/>
      <c r="AI670" s="51"/>
    </row>
    <row r="671" spans="7:35" ht="14.4">
      <c r="G671" s="51"/>
      <c r="I671" s="51"/>
      <c r="Z671" s="52"/>
      <c r="AF671" s="51"/>
      <c r="AG671" s="51"/>
      <c r="AH671" s="51"/>
      <c r="AI671" s="51"/>
    </row>
    <row r="672" spans="7:35" ht="14.4">
      <c r="G672" s="51"/>
      <c r="I672" s="51"/>
      <c r="Z672" s="52"/>
      <c r="AF672" s="51"/>
      <c r="AG672" s="51"/>
      <c r="AH672" s="51"/>
      <c r="AI672" s="51"/>
    </row>
    <row r="673" spans="7:35" ht="14.4">
      <c r="G673" s="51"/>
      <c r="I673" s="51"/>
      <c r="Z673" s="52"/>
      <c r="AF673" s="51"/>
      <c r="AG673" s="51"/>
      <c r="AH673" s="51"/>
      <c r="AI673" s="51"/>
    </row>
    <row r="674" spans="7:35" ht="14.4">
      <c r="G674" s="51"/>
      <c r="I674" s="51"/>
      <c r="Z674" s="52"/>
      <c r="AF674" s="51"/>
      <c r="AG674" s="51"/>
      <c r="AH674" s="51"/>
      <c r="AI674" s="51"/>
    </row>
    <row r="675" spans="7:35" ht="14.4">
      <c r="G675" s="51"/>
      <c r="I675" s="51"/>
      <c r="Z675" s="52"/>
      <c r="AF675" s="51"/>
      <c r="AG675" s="51"/>
      <c r="AH675" s="51"/>
      <c r="AI675" s="51"/>
    </row>
    <row r="676" spans="7:35" ht="14.4">
      <c r="G676" s="51"/>
      <c r="I676" s="51"/>
      <c r="Z676" s="52"/>
      <c r="AF676" s="51"/>
      <c r="AG676" s="51"/>
      <c r="AH676" s="51"/>
      <c r="AI676" s="51"/>
    </row>
    <row r="677" spans="7:35" ht="14.4">
      <c r="G677" s="51"/>
      <c r="I677" s="51"/>
      <c r="Z677" s="52"/>
      <c r="AF677" s="51"/>
      <c r="AG677" s="51"/>
      <c r="AH677" s="51"/>
      <c r="AI677" s="51"/>
    </row>
    <row r="678" spans="7:35" ht="14.4">
      <c r="G678" s="51"/>
      <c r="I678" s="51"/>
      <c r="Z678" s="52"/>
      <c r="AF678" s="51"/>
      <c r="AG678" s="51"/>
      <c r="AH678" s="51"/>
      <c r="AI678" s="51"/>
    </row>
    <row r="679" spans="7:35" ht="14.4">
      <c r="G679" s="51"/>
      <c r="I679" s="51"/>
      <c r="Z679" s="52"/>
      <c r="AF679" s="51"/>
      <c r="AG679" s="51"/>
      <c r="AH679" s="51"/>
      <c r="AI679" s="51"/>
    </row>
    <row r="680" spans="7:35" ht="14.4">
      <c r="G680" s="51"/>
      <c r="I680" s="51"/>
      <c r="Z680" s="52"/>
      <c r="AF680" s="51"/>
      <c r="AG680" s="51"/>
      <c r="AH680" s="51"/>
      <c r="AI680" s="51"/>
    </row>
    <row r="681" spans="7:35" ht="14.4">
      <c r="G681" s="51"/>
      <c r="I681" s="51"/>
      <c r="Z681" s="52"/>
      <c r="AF681" s="51"/>
      <c r="AG681" s="51"/>
      <c r="AH681" s="51"/>
      <c r="AI681" s="51"/>
    </row>
    <row r="682" spans="7:35" ht="14.4">
      <c r="G682" s="51"/>
      <c r="I682" s="51"/>
      <c r="Z682" s="52"/>
      <c r="AF682" s="51"/>
      <c r="AG682" s="51"/>
      <c r="AH682" s="51"/>
      <c r="AI682" s="51"/>
    </row>
    <row r="683" spans="7:35" ht="14.4">
      <c r="G683" s="51"/>
      <c r="I683" s="51"/>
      <c r="Z683" s="52"/>
      <c r="AF683" s="51"/>
      <c r="AG683" s="51"/>
      <c r="AH683" s="51"/>
      <c r="AI683" s="51"/>
    </row>
    <row r="684" spans="7:35" ht="14.4">
      <c r="G684" s="51"/>
      <c r="I684" s="51"/>
      <c r="Z684" s="52"/>
      <c r="AF684" s="51"/>
      <c r="AG684" s="51"/>
      <c r="AH684" s="51"/>
      <c r="AI684" s="51"/>
    </row>
    <row r="685" spans="7:35" ht="14.4">
      <c r="G685" s="51"/>
      <c r="I685" s="51"/>
      <c r="Z685" s="52"/>
      <c r="AF685" s="51"/>
      <c r="AG685" s="51"/>
      <c r="AH685" s="51"/>
      <c r="AI685" s="51"/>
    </row>
    <row r="686" spans="7:35" ht="14.4">
      <c r="G686" s="51"/>
      <c r="I686" s="51"/>
      <c r="Z686" s="52"/>
      <c r="AF686" s="51"/>
      <c r="AG686" s="51"/>
      <c r="AH686" s="51"/>
      <c r="AI686" s="51"/>
    </row>
    <row r="687" spans="7:35" ht="14.4">
      <c r="G687" s="51"/>
      <c r="I687" s="51"/>
      <c r="Z687" s="52"/>
      <c r="AF687" s="51"/>
      <c r="AG687" s="51"/>
      <c r="AH687" s="51"/>
      <c r="AI687" s="51"/>
    </row>
    <row r="688" spans="7:35" ht="14.4">
      <c r="G688" s="51"/>
      <c r="I688" s="51"/>
      <c r="Z688" s="52"/>
      <c r="AF688" s="51"/>
      <c r="AG688" s="51"/>
      <c r="AH688" s="51"/>
      <c r="AI688" s="51"/>
    </row>
    <row r="689" spans="7:35" ht="14.4">
      <c r="G689" s="51"/>
      <c r="I689" s="51"/>
      <c r="Z689" s="52"/>
      <c r="AF689" s="51"/>
      <c r="AG689" s="51"/>
      <c r="AH689" s="51"/>
      <c r="AI689" s="51"/>
    </row>
    <row r="690" spans="7:35" ht="14.4">
      <c r="G690" s="51"/>
      <c r="I690" s="51"/>
      <c r="Z690" s="52"/>
      <c r="AF690" s="51"/>
      <c r="AG690" s="51"/>
      <c r="AH690" s="51"/>
      <c r="AI690" s="51"/>
    </row>
    <row r="691" spans="7:35" ht="14.4">
      <c r="G691" s="51"/>
      <c r="I691" s="51"/>
      <c r="Z691" s="52"/>
      <c r="AF691" s="51"/>
      <c r="AG691" s="51"/>
      <c r="AH691" s="51"/>
      <c r="AI691" s="51"/>
    </row>
    <row r="692" spans="7:35" ht="14.4">
      <c r="G692" s="51"/>
      <c r="I692" s="51"/>
      <c r="Z692" s="52"/>
      <c r="AF692" s="51"/>
      <c r="AG692" s="51"/>
      <c r="AH692" s="51"/>
      <c r="AI692" s="51"/>
    </row>
    <row r="693" spans="7:35" ht="14.4">
      <c r="G693" s="51"/>
      <c r="I693" s="51"/>
      <c r="Z693" s="52"/>
      <c r="AF693" s="51"/>
      <c r="AG693" s="51"/>
      <c r="AH693" s="51"/>
      <c r="AI693" s="51"/>
    </row>
    <row r="694" spans="7:35" ht="14.4">
      <c r="G694" s="51"/>
      <c r="I694" s="51"/>
      <c r="Z694" s="52"/>
      <c r="AF694" s="51"/>
      <c r="AG694" s="51"/>
      <c r="AH694" s="51"/>
      <c r="AI694" s="51"/>
    </row>
    <row r="695" spans="7:35" ht="14.4">
      <c r="G695" s="51"/>
      <c r="I695" s="51"/>
      <c r="Z695" s="52"/>
      <c r="AF695" s="51"/>
      <c r="AG695" s="51"/>
      <c r="AH695" s="51"/>
      <c r="AI695" s="51"/>
    </row>
    <row r="696" spans="7:35" ht="14.4">
      <c r="G696" s="51"/>
      <c r="I696" s="51"/>
      <c r="Z696" s="52"/>
      <c r="AF696" s="51"/>
      <c r="AG696" s="51"/>
      <c r="AH696" s="51"/>
      <c r="AI696" s="51"/>
    </row>
    <row r="697" spans="7:35" ht="14.4">
      <c r="G697" s="51"/>
      <c r="I697" s="51"/>
      <c r="Z697" s="52"/>
      <c r="AF697" s="51"/>
      <c r="AG697" s="51"/>
      <c r="AH697" s="51"/>
      <c r="AI697" s="51"/>
    </row>
    <row r="698" spans="7:35" ht="14.4">
      <c r="G698" s="51"/>
      <c r="I698" s="51"/>
      <c r="Z698" s="52"/>
      <c r="AF698" s="51"/>
      <c r="AG698" s="51"/>
      <c r="AH698" s="51"/>
      <c r="AI698" s="51"/>
    </row>
    <row r="699" spans="7:35" ht="14.4">
      <c r="G699" s="51"/>
      <c r="I699" s="51"/>
      <c r="Z699" s="52"/>
      <c r="AF699" s="51"/>
      <c r="AG699" s="51"/>
      <c r="AH699" s="51"/>
      <c r="AI699" s="51"/>
    </row>
    <row r="700" spans="7:35" ht="14.4">
      <c r="G700" s="51"/>
      <c r="I700" s="51"/>
      <c r="Z700" s="52"/>
      <c r="AF700" s="51"/>
      <c r="AG700" s="51"/>
      <c r="AH700" s="51"/>
      <c r="AI700" s="51"/>
    </row>
    <row r="701" spans="7:35" ht="14.4">
      <c r="G701" s="51"/>
      <c r="I701" s="51"/>
      <c r="Z701" s="52"/>
      <c r="AF701" s="51"/>
      <c r="AG701" s="51"/>
      <c r="AH701" s="51"/>
      <c r="AI701" s="51"/>
    </row>
    <row r="702" spans="7:35" ht="14.4">
      <c r="G702" s="51"/>
      <c r="I702" s="51"/>
      <c r="Z702" s="52"/>
      <c r="AF702" s="51"/>
      <c r="AG702" s="51"/>
      <c r="AH702" s="51"/>
      <c r="AI702" s="51"/>
    </row>
    <row r="703" spans="7:35" ht="14.4">
      <c r="G703" s="51"/>
      <c r="I703" s="51"/>
      <c r="Z703" s="52"/>
      <c r="AF703" s="51"/>
      <c r="AG703" s="51"/>
      <c r="AH703" s="51"/>
      <c r="AI703" s="51"/>
    </row>
    <row r="704" spans="7:35" ht="14.4">
      <c r="G704" s="51"/>
      <c r="I704" s="51"/>
      <c r="Z704" s="52"/>
      <c r="AF704" s="51"/>
      <c r="AG704" s="51"/>
      <c r="AH704" s="51"/>
      <c r="AI704" s="51"/>
    </row>
    <row r="705" spans="7:35" ht="14.4">
      <c r="G705" s="51"/>
      <c r="I705" s="51"/>
      <c r="Z705" s="52"/>
      <c r="AF705" s="51"/>
      <c r="AG705" s="51"/>
      <c r="AH705" s="51"/>
      <c r="AI705" s="51"/>
    </row>
    <row r="706" spans="7:35" ht="14.4">
      <c r="G706" s="51"/>
      <c r="I706" s="51"/>
      <c r="Z706" s="52"/>
      <c r="AF706" s="51"/>
      <c r="AG706" s="51"/>
      <c r="AH706" s="51"/>
      <c r="AI706" s="51"/>
    </row>
    <row r="707" spans="7:35" ht="14.4">
      <c r="G707" s="51"/>
      <c r="I707" s="51"/>
      <c r="Z707" s="52"/>
      <c r="AF707" s="51"/>
      <c r="AG707" s="51"/>
      <c r="AH707" s="51"/>
      <c r="AI707" s="51"/>
    </row>
    <row r="708" spans="7:35" ht="14.4">
      <c r="G708" s="51"/>
      <c r="I708" s="51"/>
      <c r="Z708" s="52"/>
      <c r="AF708" s="51"/>
      <c r="AG708" s="51"/>
      <c r="AH708" s="51"/>
      <c r="AI708" s="51"/>
    </row>
    <row r="709" spans="7:35" ht="14.4">
      <c r="G709" s="51"/>
      <c r="I709" s="51"/>
      <c r="Z709" s="52"/>
      <c r="AF709" s="51"/>
      <c r="AG709" s="51"/>
      <c r="AH709" s="51"/>
      <c r="AI709" s="51"/>
    </row>
    <row r="710" spans="7:35" ht="14.4">
      <c r="G710" s="51"/>
      <c r="I710" s="51"/>
      <c r="Z710" s="52"/>
      <c r="AF710" s="51"/>
      <c r="AG710" s="51"/>
      <c r="AH710" s="51"/>
      <c r="AI710" s="51"/>
    </row>
    <row r="711" spans="7:35" ht="14.4">
      <c r="G711" s="51"/>
      <c r="I711" s="51"/>
      <c r="Z711" s="52"/>
      <c r="AF711" s="51"/>
      <c r="AG711" s="51"/>
      <c r="AH711" s="51"/>
      <c r="AI711" s="51"/>
    </row>
    <row r="712" spans="7:35" ht="14.4">
      <c r="G712" s="51"/>
      <c r="I712" s="51"/>
      <c r="Z712" s="52"/>
      <c r="AF712" s="51"/>
      <c r="AG712" s="51"/>
      <c r="AH712" s="51"/>
      <c r="AI712" s="51"/>
    </row>
    <row r="713" spans="7:35" ht="14.4">
      <c r="G713" s="51"/>
      <c r="I713" s="51"/>
      <c r="Z713" s="52"/>
      <c r="AF713" s="51"/>
      <c r="AG713" s="51"/>
      <c r="AH713" s="51"/>
      <c r="AI713" s="51"/>
    </row>
    <row r="714" spans="7:35" ht="14.4">
      <c r="G714" s="51"/>
      <c r="I714" s="51"/>
      <c r="Z714" s="52"/>
      <c r="AF714" s="51"/>
      <c r="AG714" s="51"/>
      <c r="AH714" s="51"/>
      <c r="AI714" s="51"/>
    </row>
    <row r="715" spans="7:35" ht="14.4">
      <c r="G715" s="51"/>
      <c r="I715" s="51"/>
      <c r="Z715" s="52"/>
      <c r="AF715" s="51"/>
      <c r="AG715" s="51"/>
      <c r="AH715" s="51"/>
      <c r="AI715" s="51"/>
    </row>
    <row r="716" spans="7:35" ht="14.4">
      <c r="G716" s="51"/>
      <c r="I716" s="51"/>
      <c r="Z716" s="52"/>
      <c r="AF716" s="51"/>
      <c r="AG716" s="51"/>
      <c r="AH716" s="51"/>
      <c r="AI716" s="51"/>
    </row>
    <row r="717" spans="7:35" ht="14.4">
      <c r="G717" s="51"/>
      <c r="I717" s="51"/>
      <c r="Z717" s="52"/>
      <c r="AF717" s="51"/>
      <c r="AG717" s="51"/>
      <c r="AH717" s="51"/>
      <c r="AI717" s="51"/>
    </row>
    <row r="718" spans="7:35" ht="14.4">
      <c r="G718" s="51"/>
      <c r="I718" s="51"/>
      <c r="Z718" s="52"/>
      <c r="AF718" s="51"/>
      <c r="AG718" s="51"/>
      <c r="AH718" s="51"/>
      <c r="AI718" s="51"/>
    </row>
    <row r="719" spans="7:35" ht="14.4">
      <c r="G719" s="51"/>
      <c r="I719" s="51"/>
      <c r="Z719" s="52"/>
      <c r="AF719" s="51"/>
      <c r="AG719" s="51"/>
      <c r="AH719" s="51"/>
      <c r="AI719" s="51"/>
    </row>
    <row r="720" spans="7:35" ht="14.4">
      <c r="G720" s="51"/>
      <c r="I720" s="51"/>
      <c r="Z720" s="52"/>
      <c r="AF720" s="51"/>
      <c r="AG720" s="51"/>
      <c r="AH720" s="51"/>
      <c r="AI720" s="51"/>
    </row>
    <row r="721" spans="7:35" ht="14.4">
      <c r="G721" s="51"/>
      <c r="I721" s="51"/>
      <c r="Z721" s="52"/>
      <c r="AF721" s="51"/>
      <c r="AG721" s="51"/>
      <c r="AH721" s="51"/>
      <c r="AI721" s="51"/>
    </row>
    <row r="722" spans="7:35" ht="14.4">
      <c r="G722" s="51"/>
      <c r="I722" s="51"/>
      <c r="Z722" s="52"/>
      <c r="AF722" s="51"/>
      <c r="AG722" s="51"/>
      <c r="AH722" s="51"/>
      <c r="AI722" s="51"/>
    </row>
    <row r="723" spans="7:35" ht="14.4">
      <c r="G723" s="51"/>
      <c r="I723" s="51"/>
      <c r="Z723" s="52"/>
      <c r="AF723" s="51"/>
      <c r="AG723" s="51"/>
      <c r="AH723" s="51"/>
      <c r="AI723" s="51"/>
    </row>
    <row r="724" spans="7:35" ht="14.4">
      <c r="G724" s="51"/>
      <c r="I724" s="51"/>
      <c r="Z724" s="52"/>
      <c r="AF724" s="51"/>
      <c r="AG724" s="51"/>
      <c r="AH724" s="51"/>
      <c r="AI724" s="51"/>
    </row>
    <row r="725" spans="7:35" ht="14.4">
      <c r="G725" s="51"/>
      <c r="I725" s="51"/>
      <c r="Z725" s="52"/>
      <c r="AF725" s="51"/>
      <c r="AG725" s="51"/>
      <c r="AH725" s="51"/>
      <c r="AI725" s="51"/>
    </row>
    <row r="726" spans="7:35" ht="14.4">
      <c r="G726" s="51"/>
      <c r="I726" s="51"/>
      <c r="Z726" s="52"/>
      <c r="AF726" s="51"/>
      <c r="AG726" s="51"/>
      <c r="AH726" s="51"/>
      <c r="AI726" s="51"/>
    </row>
    <row r="727" spans="7:35" ht="14.4">
      <c r="G727" s="51"/>
      <c r="I727" s="51"/>
      <c r="Z727" s="52"/>
      <c r="AF727" s="51"/>
      <c r="AG727" s="51"/>
      <c r="AH727" s="51"/>
      <c r="AI727" s="51"/>
    </row>
    <row r="728" spans="7:35" ht="14.4">
      <c r="G728" s="51"/>
      <c r="I728" s="51"/>
      <c r="Z728" s="52"/>
      <c r="AF728" s="51"/>
      <c r="AG728" s="51"/>
      <c r="AH728" s="51"/>
      <c r="AI728" s="51"/>
    </row>
    <row r="729" spans="7:35" ht="14.4">
      <c r="G729" s="51"/>
      <c r="I729" s="51"/>
      <c r="Z729" s="52"/>
      <c r="AF729" s="51"/>
      <c r="AG729" s="51"/>
      <c r="AH729" s="51"/>
      <c r="AI729" s="51"/>
    </row>
    <row r="730" spans="7:35" ht="14.4">
      <c r="G730" s="51"/>
      <c r="I730" s="51"/>
      <c r="Z730" s="52"/>
      <c r="AF730" s="51"/>
      <c r="AG730" s="51"/>
      <c r="AH730" s="51"/>
      <c r="AI730" s="51"/>
    </row>
    <row r="731" spans="7:35" ht="14.4">
      <c r="G731" s="51"/>
      <c r="I731" s="51"/>
      <c r="Z731" s="52"/>
      <c r="AF731" s="51"/>
      <c r="AG731" s="51"/>
      <c r="AH731" s="51"/>
      <c r="AI731" s="51"/>
    </row>
    <row r="732" spans="7:35" ht="14.4">
      <c r="G732" s="51"/>
      <c r="I732" s="51"/>
      <c r="Z732" s="52"/>
      <c r="AF732" s="51"/>
      <c r="AG732" s="51"/>
      <c r="AH732" s="51"/>
      <c r="AI732" s="51"/>
    </row>
    <row r="733" spans="7:35" ht="14.4">
      <c r="G733" s="51"/>
      <c r="I733" s="51"/>
      <c r="Z733" s="52"/>
      <c r="AF733" s="51"/>
      <c r="AG733" s="51"/>
      <c r="AH733" s="51"/>
      <c r="AI733" s="51"/>
    </row>
    <row r="734" spans="7:35" ht="14.4">
      <c r="G734" s="51"/>
      <c r="I734" s="51"/>
      <c r="Z734" s="52"/>
      <c r="AF734" s="51"/>
      <c r="AG734" s="51"/>
      <c r="AH734" s="51"/>
      <c r="AI734" s="51"/>
    </row>
    <row r="735" spans="7:35" ht="14.4">
      <c r="G735" s="51"/>
      <c r="I735" s="51"/>
      <c r="Z735" s="52"/>
      <c r="AF735" s="51"/>
      <c r="AG735" s="51"/>
      <c r="AH735" s="51"/>
      <c r="AI735" s="51"/>
    </row>
    <row r="736" spans="7:35" ht="14.4">
      <c r="G736" s="51"/>
      <c r="I736" s="51"/>
      <c r="Z736" s="52"/>
      <c r="AF736" s="51"/>
      <c r="AG736" s="51"/>
      <c r="AH736" s="51"/>
      <c r="AI736" s="51"/>
    </row>
    <row r="737" spans="7:35" ht="14.4">
      <c r="G737" s="51"/>
      <c r="I737" s="51"/>
      <c r="Z737" s="52"/>
      <c r="AF737" s="51"/>
      <c r="AG737" s="51"/>
      <c r="AH737" s="51"/>
      <c r="AI737" s="51"/>
    </row>
    <row r="738" spans="7:35" ht="14.4">
      <c r="G738" s="51"/>
      <c r="I738" s="51"/>
      <c r="Z738" s="52"/>
      <c r="AF738" s="51"/>
      <c r="AG738" s="51"/>
      <c r="AH738" s="51"/>
      <c r="AI738" s="51"/>
    </row>
    <row r="739" spans="7:35" ht="14.4">
      <c r="G739" s="51"/>
      <c r="I739" s="51"/>
      <c r="Z739" s="52"/>
      <c r="AF739" s="51"/>
      <c r="AG739" s="51"/>
      <c r="AH739" s="51"/>
      <c r="AI739" s="51"/>
    </row>
    <row r="740" spans="7:35" ht="14.4">
      <c r="G740" s="51"/>
      <c r="I740" s="51"/>
      <c r="Z740" s="52"/>
      <c r="AF740" s="51"/>
      <c r="AG740" s="51"/>
      <c r="AH740" s="51"/>
      <c r="AI740" s="51"/>
    </row>
    <row r="741" spans="7:35" ht="14.4">
      <c r="G741" s="51"/>
      <c r="I741" s="51"/>
      <c r="Z741" s="52"/>
      <c r="AF741" s="51"/>
      <c r="AG741" s="51"/>
      <c r="AH741" s="51"/>
      <c r="AI741" s="51"/>
    </row>
    <row r="742" spans="7:35" ht="14.4">
      <c r="G742" s="51"/>
      <c r="I742" s="51"/>
      <c r="Z742" s="52"/>
      <c r="AF742" s="51"/>
      <c r="AG742" s="51"/>
      <c r="AH742" s="51"/>
      <c r="AI742" s="51"/>
    </row>
    <row r="743" spans="7:35" ht="14.4">
      <c r="G743" s="51"/>
      <c r="I743" s="51"/>
      <c r="Z743" s="52"/>
      <c r="AF743" s="51"/>
      <c r="AG743" s="51"/>
      <c r="AH743" s="51"/>
      <c r="AI743" s="51"/>
    </row>
    <row r="744" spans="7:35" ht="14.4">
      <c r="G744" s="51"/>
      <c r="I744" s="51"/>
      <c r="Z744" s="52"/>
      <c r="AF744" s="51"/>
      <c r="AG744" s="51"/>
      <c r="AH744" s="51"/>
      <c r="AI744" s="51"/>
    </row>
    <row r="745" spans="7:35" ht="14.4">
      <c r="G745" s="51"/>
      <c r="I745" s="51"/>
      <c r="Z745" s="52"/>
      <c r="AF745" s="51"/>
      <c r="AG745" s="51"/>
      <c r="AH745" s="51"/>
      <c r="AI745" s="51"/>
    </row>
    <row r="746" spans="7:35" ht="14.4">
      <c r="G746" s="51"/>
      <c r="I746" s="51"/>
      <c r="Z746" s="52"/>
      <c r="AF746" s="51"/>
      <c r="AG746" s="51"/>
      <c r="AH746" s="51"/>
      <c r="AI746" s="51"/>
    </row>
    <row r="747" spans="7:35" ht="14.4">
      <c r="G747" s="51"/>
      <c r="I747" s="51"/>
      <c r="Z747" s="52"/>
      <c r="AF747" s="51"/>
      <c r="AG747" s="51"/>
      <c r="AH747" s="51"/>
      <c r="AI747" s="51"/>
    </row>
    <row r="748" spans="7:35" ht="14.4">
      <c r="G748" s="51"/>
      <c r="I748" s="51"/>
      <c r="Z748" s="52"/>
      <c r="AF748" s="51"/>
      <c r="AG748" s="51"/>
      <c r="AH748" s="51"/>
      <c r="AI748" s="51"/>
    </row>
    <row r="749" spans="7:35" ht="14.4">
      <c r="G749" s="51"/>
      <c r="I749" s="51"/>
      <c r="Z749" s="52"/>
      <c r="AF749" s="51"/>
      <c r="AG749" s="51"/>
      <c r="AH749" s="51"/>
      <c r="AI749" s="51"/>
    </row>
    <row r="750" spans="7:35" ht="14.4">
      <c r="G750" s="51"/>
      <c r="I750" s="51"/>
      <c r="Z750" s="52"/>
      <c r="AF750" s="51"/>
      <c r="AG750" s="51"/>
      <c r="AH750" s="51"/>
      <c r="AI750" s="51"/>
    </row>
    <row r="751" spans="7:35" ht="14.4">
      <c r="G751" s="51"/>
      <c r="I751" s="51"/>
      <c r="Z751" s="52"/>
      <c r="AF751" s="51"/>
      <c r="AG751" s="51"/>
      <c r="AH751" s="51"/>
      <c r="AI751" s="51"/>
    </row>
    <row r="752" spans="7:35" ht="14.4">
      <c r="G752" s="51"/>
      <c r="I752" s="51"/>
      <c r="Z752" s="52"/>
      <c r="AF752" s="51"/>
      <c r="AG752" s="51"/>
      <c r="AH752" s="51"/>
      <c r="AI752" s="51"/>
    </row>
    <row r="753" spans="7:35" ht="14.4">
      <c r="G753" s="51"/>
      <c r="I753" s="51"/>
      <c r="Z753" s="52"/>
      <c r="AF753" s="51"/>
      <c r="AG753" s="51"/>
      <c r="AH753" s="51"/>
      <c r="AI753" s="51"/>
    </row>
    <row r="754" spans="7:35" ht="14.4">
      <c r="G754" s="51"/>
      <c r="I754" s="51"/>
      <c r="Z754" s="52"/>
      <c r="AF754" s="51"/>
      <c r="AG754" s="51"/>
      <c r="AH754" s="51"/>
      <c r="AI754" s="51"/>
    </row>
    <row r="755" spans="7:35" ht="14.4">
      <c r="G755" s="51"/>
      <c r="I755" s="51"/>
      <c r="Z755" s="52"/>
      <c r="AF755" s="51"/>
      <c r="AG755" s="51"/>
      <c r="AH755" s="51"/>
      <c r="AI755" s="51"/>
    </row>
    <row r="756" spans="7:35" ht="14.4">
      <c r="G756" s="51"/>
      <c r="I756" s="51"/>
      <c r="Z756" s="52"/>
      <c r="AF756" s="51"/>
      <c r="AG756" s="51"/>
      <c r="AH756" s="51"/>
      <c r="AI756" s="51"/>
    </row>
    <row r="757" spans="7:35" ht="14.4">
      <c r="G757" s="51"/>
      <c r="I757" s="51"/>
      <c r="Z757" s="52"/>
      <c r="AF757" s="51"/>
      <c r="AG757" s="51"/>
      <c r="AH757" s="51"/>
      <c r="AI757" s="51"/>
    </row>
    <row r="758" spans="7:35" ht="14.4">
      <c r="G758" s="51"/>
      <c r="I758" s="51"/>
      <c r="Z758" s="52"/>
      <c r="AF758" s="51"/>
      <c r="AG758" s="51"/>
      <c r="AH758" s="51"/>
      <c r="AI758" s="51"/>
    </row>
    <row r="759" spans="7:35" ht="14.4">
      <c r="G759" s="51"/>
      <c r="I759" s="51"/>
      <c r="Z759" s="52"/>
      <c r="AF759" s="51"/>
      <c r="AG759" s="51"/>
      <c r="AH759" s="51"/>
      <c r="AI759" s="51"/>
    </row>
    <row r="760" spans="7:35" ht="14.4">
      <c r="G760" s="51"/>
      <c r="I760" s="51"/>
      <c r="Z760" s="52"/>
      <c r="AF760" s="51"/>
      <c r="AG760" s="51"/>
      <c r="AH760" s="51"/>
      <c r="AI760" s="51"/>
    </row>
    <row r="761" spans="7:35" ht="14.4">
      <c r="G761" s="51"/>
      <c r="I761" s="51"/>
      <c r="Z761" s="52"/>
      <c r="AF761" s="51"/>
      <c r="AG761" s="51"/>
      <c r="AH761" s="51"/>
      <c r="AI761" s="51"/>
    </row>
    <row r="762" spans="7:35" ht="14.4">
      <c r="G762" s="51"/>
      <c r="I762" s="51"/>
      <c r="Z762" s="52"/>
      <c r="AF762" s="51"/>
      <c r="AG762" s="51"/>
      <c r="AH762" s="51"/>
      <c r="AI762" s="51"/>
    </row>
    <row r="763" spans="7:35" ht="14.4">
      <c r="G763" s="51"/>
      <c r="I763" s="51"/>
      <c r="Z763" s="52"/>
      <c r="AF763" s="51"/>
      <c r="AG763" s="51"/>
      <c r="AH763" s="51"/>
      <c r="AI763" s="51"/>
    </row>
    <row r="764" spans="7:35" ht="14.4">
      <c r="G764" s="51"/>
      <c r="I764" s="51"/>
      <c r="Z764" s="52"/>
      <c r="AF764" s="51"/>
      <c r="AG764" s="51"/>
      <c r="AH764" s="51"/>
      <c r="AI764" s="51"/>
    </row>
    <row r="765" spans="7:35" ht="14.4">
      <c r="G765" s="51"/>
      <c r="I765" s="51"/>
      <c r="Z765" s="52"/>
      <c r="AF765" s="51"/>
      <c r="AG765" s="51"/>
      <c r="AH765" s="51"/>
      <c r="AI765" s="51"/>
    </row>
    <row r="766" spans="7:35" ht="14.4">
      <c r="G766" s="51"/>
      <c r="I766" s="51"/>
      <c r="Z766" s="52"/>
      <c r="AF766" s="51"/>
      <c r="AG766" s="51"/>
      <c r="AH766" s="51"/>
      <c r="AI766" s="51"/>
    </row>
    <row r="767" spans="7:35" ht="14.4">
      <c r="G767" s="51"/>
      <c r="I767" s="51"/>
      <c r="Z767" s="52"/>
      <c r="AF767" s="51"/>
      <c r="AG767" s="51"/>
      <c r="AH767" s="51"/>
      <c r="AI767" s="51"/>
    </row>
    <row r="768" spans="7:35" ht="14.4">
      <c r="G768" s="51"/>
      <c r="I768" s="51"/>
      <c r="Z768" s="52"/>
      <c r="AF768" s="51"/>
      <c r="AG768" s="51"/>
      <c r="AH768" s="51"/>
      <c r="AI768" s="51"/>
    </row>
    <row r="769" spans="7:35" ht="14.4">
      <c r="G769" s="51"/>
      <c r="I769" s="51"/>
      <c r="Z769" s="52"/>
      <c r="AF769" s="51"/>
      <c r="AG769" s="51"/>
      <c r="AH769" s="51"/>
      <c r="AI769" s="51"/>
    </row>
    <row r="770" spans="7:35" ht="14.4">
      <c r="G770" s="51"/>
      <c r="I770" s="51"/>
      <c r="Z770" s="52"/>
      <c r="AF770" s="51"/>
      <c r="AG770" s="51"/>
      <c r="AH770" s="51"/>
      <c r="AI770" s="51"/>
    </row>
    <row r="771" spans="7:35" ht="14.4">
      <c r="G771" s="51"/>
      <c r="I771" s="51"/>
      <c r="Z771" s="52"/>
      <c r="AF771" s="51"/>
      <c r="AG771" s="51"/>
      <c r="AH771" s="51"/>
      <c r="AI771" s="51"/>
    </row>
    <row r="772" spans="7:35" ht="14.4">
      <c r="G772" s="51"/>
      <c r="I772" s="51"/>
      <c r="Z772" s="52"/>
      <c r="AF772" s="51"/>
      <c r="AG772" s="51"/>
      <c r="AH772" s="51"/>
      <c r="AI772" s="51"/>
    </row>
    <row r="773" spans="7:35" ht="14.4">
      <c r="G773" s="51"/>
      <c r="I773" s="51"/>
      <c r="Z773" s="52"/>
      <c r="AF773" s="51"/>
      <c r="AG773" s="51"/>
      <c r="AH773" s="51"/>
      <c r="AI773" s="51"/>
    </row>
    <row r="774" spans="7:35" ht="14.4">
      <c r="G774" s="51"/>
      <c r="I774" s="51"/>
      <c r="Z774" s="52"/>
      <c r="AF774" s="51"/>
      <c r="AG774" s="51"/>
      <c r="AH774" s="51"/>
      <c r="AI774" s="51"/>
    </row>
    <row r="775" spans="7:35" ht="14.4">
      <c r="G775" s="51"/>
      <c r="I775" s="51"/>
      <c r="Z775" s="52"/>
      <c r="AF775" s="51"/>
      <c r="AG775" s="51"/>
      <c r="AH775" s="51"/>
      <c r="AI775" s="51"/>
    </row>
    <row r="776" spans="7:35" ht="14.4">
      <c r="G776" s="51"/>
      <c r="I776" s="51"/>
      <c r="Z776" s="52"/>
      <c r="AF776" s="51"/>
      <c r="AG776" s="51"/>
      <c r="AH776" s="51"/>
      <c r="AI776" s="51"/>
    </row>
    <row r="777" spans="7:35" ht="14.4">
      <c r="G777" s="51"/>
      <c r="I777" s="51"/>
      <c r="Z777" s="52"/>
      <c r="AF777" s="51"/>
      <c r="AG777" s="51"/>
      <c r="AH777" s="51"/>
      <c r="AI777" s="51"/>
    </row>
    <row r="778" spans="7:35" ht="14.4">
      <c r="G778" s="51"/>
      <c r="I778" s="51"/>
      <c r="Z778" s="52"/>
      <c r="AF778" s="51"/>
      <c r="AG778" s="51"/>
      <c r="AH778" s="51"/>
      <c r="AI778" s="51"/>
    </row>
    <row r="779" spans="7:35" ht="14.4">
      <c r="G779" s="51"/>
      <c r="I779" s="51"/>
      <c r="Z779" s="52"/>
      <c r="AF779" s="51"/>
      <c r="AG779" s="51"/>
      <c r="AH779" s="51"/>
      <c r="AI779" s="51"/>
    </row>
    <row r="780" spans="7:35" ht="14.4">
      <c r="G780" s="51"/>
      <c r="I780" s="51"/>
      <c r="Z780" s="52"/>
      <c r="AF780" s="51"/>
      <c r="AG780" s="51"/>
      <c r="AH780" s="51"/>
      <c r="AI780" s="51"/>
    </row>
    <row r="781" spans="7:35" ht="14.4">
      <c r="G781" s="51"/>
      <c r="I781" s="51"/>
      <c r="Z781" s="52"/>
      <c r="AF781" s="51"/>
      <c r="AG781" s="51"/>
      <c r="AH781" s="51"/>
      <c r="AI781" s="51"/>
    </row>
    <row r="782" spans="7:35" ht="14.4">
      <c r="G782" s="51"/>
      <c r="I782" s="51"/>
      <c r="Z782" s="52"/>
      <c r="AF782" s="51"/>
      <c r="AG782" s="51"/>
      <c r="AH782" s="51"/>
      <c r="AI782" s="51"/>
    </row>
    <row r="783" spans="7:35" ht="14.4">
      <c r="G783" s="51"/>
      <c r="I783" s="51"/>
      <c r="Z783" s="52"/>
      <c r="AF783" s="51"/>
      <c r="AG783" s="51"/>
      <c r="AH783" s="51"/>
      <c r="AI783" s="51"/>
    </row>
    <row r="784" spans="7:35" ht="14.4">
      <c r="G784" s="51"/>
      <c r="I784" s="51"/>
      <c r="Z784" s="52"/>
      <c r="AF784" s="51"/>
      <c r="AG784" s="51"/>
      <c r="AH784" s="51"/>
      <c r="AI784" s="51"/>
    </row>
    <row r="785" spans="7:35" ht="14.4">
      <c r="G785" s="51"/>
      <c r="I785" s="51"/>
      <c r="Z785" s="52"/>
      <c r="AF785" s="51"/>
      <c r="AG785" s="51"/>
      <c r="AH785" s="51"/>
      <c r="AI785" s="51"/>
    </row>
    <row r="786" spans="7:35" ht="14.4">
      <c r="G786" s="51"/>
      <c r="I786" s="51"/>
      <c r="Z786" s="52"/>
      <c r="AF786" s="51"/>
      <c r="AG786" s="51"/>
      <c r="AH786" s="51"/>
      <c r="AI786" s="51"/>
    </row>
    <row r="787" spans="7:35" ht="14.4">
      <c r="G787" s="51"/>
      <c r="I787" s="51"/>
      <c r="Z787" s="52"/>
      <c r="AF787" s="51"/>
      <c r="AG787" s="51"/>
      <c r="AH787" s="51"/>
      <c r="AI787" s="51"/>
    </row>
    <row r="788" spans="7:35" ht="14.4">
      <c r="G788" s="51"/>
      <c r="I788" s="51"/>
      <c r="Z788" s="52"/>
      <c r="AF788" s="51"/>
      <c r="AG788" s="51"/>
      <c r="AH788" s="51"/>
      <c r="AI788" s="51"/>
    </row>
    <row r="789" spans="7:35" ht="14.4">
      <c r="G789" s="51"/>
      <c r="I789" s="51"/>
      <c r="Z789" s="52"/>
      <c r="AF789" s="51"/>
      <c r="AG789" s="51"/>
      <c r="AH789" s="51"/>
      <c r="AI789" s="51"/>
    </row>
    <row r="790" spans="7:35" ht="14.4">
      <c r="G790" s="51"/>
      <c r="I790" s="51"/>
      <c r="Z790" s="52"/>
      <c r="AF790" s="51"/>
      <c r="AG790" s="51"/>
      <c r="AH790" s="51"/>
      <c r="AI790" s="51"/>
    </row>
    <row r="791" spans="7:35" ht="14.4">
      <c r="G791" s="51"/>
      <c r="I791" s="51"/>
      <c r="Z791" s="52"/>
      <c r="AF791" s="51"/>
      <c r="AG791" s="51"/>
      <c r="AH791" s="51"/>
      <c r="AI791" s="51"/>
    </row>
    <row r="792" spans="7:35" ht="14.4">
      <c r="G792" s="51"/>
      <c r="I792" s="51"/>
      <c r="Z792" s="52"/>
      <c r="AF792" s="51"/>
      <c r="AG792" s="51"/>
      <c r="AH792" s="51"/>
      <c r="AI792" s="51"/>
    </row>
    <row r="793" spans="7:35" ht="14.4">
      <c r="G793" s="51"/>
      <c r="I793" s="51"/>
      <c r="Z793" s="52"/>
      <c r="AF793" s="51"/>
      <c r="AG793" s="51"/>
      <c r="AH793" s="51"/>
      <c r="AI793" s="51"/>
    </row>
    <row r="794" spans="7:35" ht="14.4">
      <c r="G794" s="51"/>
      <c r="I794" s="51"/>
      <c r="Z794" s="52"/>
      <c r="AF794" s="51"/>
      <c r="AG794" s="51"/>
      <c r="AH794" s="51"/>
      <c r="AI794" s="51"/>
    </row>
    <row r="795" spans="7:35" ht="14.4">
      <c r="G795" s="51"/>
      <c r="I795" s="51"/>
      <c r="Z795" s="52"/>
      <c r="AF795" s="51"/>
      <c r="AG795" s="51"/>
      <c r="AH795" s="51"/>
      <c r="AI795" s="51"/>
    </row>
    <row r="796" spans="7:35" ht="14.4">
      <c r="G796" s="51"/>
      <c r="I796" s="51"/>
      <c r="Z796" s="52"/>
      <c r="AF796" s="51"/>
      <c r="AG796" s="51"/>
      <c r="AH796" s="51"/>
      <c r="AI796" s="51"/>
    </row>
    <row r="797" spans="7:35" ht="14.4">
      <c r="G797" s="51"/>
      <c r="I797" s="51"/>
      <c r="Z797" s="52"/>
      <c r="AF797" s="51"/>
      <c r="AG797" s="51"/>
      <c r="AH797" s="51"/>
      <c r="AI797" s="51"/>
    </row>
    <row r="798" spans="7:35" ht="14.4">
      <c r="G798" s="51"/>
      <c r="I798" s="51"/>
      <c r="Z798" s="52"/>
      <c r="AF798" s="51"/>
      <c r="AG798" s="51"/>
      <c r="AH798" s="51"/>
      <c r="AI798" s="51"/>
    </row>
    <row r="799" spans="7:35" ht="14.4">
      <c r="G799" s="51"/>
      <c r="I799" s="51"/>
      <c r="Z799" s="52"/>
      <c r="AF799" s="51"/>
      <c r="AG799" s="51"/>
      <c r="AH799" s="51"/>
      <c r="AI799" s="51"/>
    </row>
    <row r="800" spans="7:35" ht="14.4">
      <c r="G800" s="51"/>
      <c r="I800" s="51"/>
      <c r="Z800" s="52"/>
      <c r="AF800" s="51"/>
      <c r="AG800" s="51"/>
      <c r="AH800" s="51"/>
      <c r="AI800" s="51"/>
    </row>
    <row r="801" spans="7:35" ht="14.4">
      <c r="G801" s="51"/>
      <c r="I801" s="51"/>
      <c r="Z801" s="52"/>
      <c r="AF801" s="51"/>
      <c r="AG801" s="51"/>
      <c r="AH801" s="51"/>
      <c r="AI801" s="51"/>
    </row>
    <row r="802" spans="7:35" ht="14.4">
      <c r="G802" s="51"/>
      <c r="I802" s="51"/>
      <c r="Z802" s="52"/>
      <c r="AF802" s="51"/>
      <c r="AG802" s="51"/>
      <c r="AH802" s="51"/>
      <c r="AI802" s="51"/>
    </row>
    <row r="803" spans="7:35" ht="14.4">
      <c r="G803" s="51"/>
      <c r="I803" s="51"/>
      <c r="Z803" s="52"/>
      <c r="AF803" s="51"/>
      <c r="AG803" s="51"/>
      <c r="AH803" s="51"/>
      <c r="AI803" s="51"/>
    </row>
    <row r="804" spans="7:35" ht="14.4">
      <c r="G804" s="51"/>
      <c r="I804" s="51"/>
      <c r="Z804" s="52"/>
      <c r="AF804" s="51"/>
      <c r="AG804" s="51"/>
      <c r="AH804" s="51"/>
      <c r="AI804" s="51"/>
    </row>
    <row r="805" spans="7:35" ht="14.4">
      <c r="G805" s="51"/>
      <c r="I805" s="51"/>
      <c r="Z805" s="52"/>
      <c r="AF805" s="51"/>
      <c r="AG805" s="51"/>
      <c r="AH805" s="51"/>
      <c r="AI805" s="51"/>
    </row>
    <row r="806" spans="7:35" ht="14.4">
      <c r="G806" s="51"/>
      <c r="I806" s="51"/>
      <c r="Z806" s="52"/>
      <c r="AF806" s="51"/>
      <c r="AG806" s="51"/>
      <c r="AH806" s="51"/>
      <c r="AI806" s="51"/>
    </row>
    <row r="807" spans="7:35" ht="14.4">
      <c r="G807" s="51"/>
      <c r="I807" s="51"/>
      <c r="Z807" s="52"/>
      <c r="AF807" s="51"/>
      <c r="AG807" s="51"/>
      <c r="AH807" s="51"/>
      <c r="AI807" s="51"/>
    </row>
    <row r="808" spans="7:35" ht="14.4">
      <c r="G808" s="51"/>
      <c r="I808" s="51"/>
      <c r="Z808" s="52"/>
      <c r="AF808" s="51"/>
      <c r="AG808" s="51"/>
      <c r="AH808" s="51"/>
      <c r="AI808" s="51"/>
    </row>
    <row r="809" spans="7:35" ht="14.4">
      <c r="G809" s="51"/>
      <c r="I809" s="51"/>
      <c r="Z809" s="52"/>
      <c r="AF809" s="51"/>
      <c r="AG809" s="51"/>
      <c r="AH809" s="51"/>
      <c r="AI809" s="51"/>
    </row>
    <row r="810" spans="7:35" ht="14.4">
      <c r="G810" s="51"/>
      <c r="I810" s="51"/>
      <c r="Z810" s="52"/>
      <c r="AF810" s="51"/>
      <c r="AG810" s="51"/>
      <c r="AH810" s="51"/>
      <c r="AI810" s="51"/>
    </row>
    <row r="811" spans="7:35" ht="14.4">
      <c r="G811" s="51"/>
      <c r="I811" s="51"/>
      <c r="Z811" s="52"/>
      <c r="AF811" s="51"/>
      <c r="AG811" s="51"/>
      <c r="AH811" s="51"/>
      <c r="AI811" s="51"/>
    </row>
    <row r="812" spans="7:35" ht="14.4">
      <c r="G812" s="51"/>
      <c r="I812" s="51"/>
      <c r="Z812" s="52"/>
      <c r="AF812" s="51"/>
      <c r="AG812" s="51"/>
      <c r="AH812" s="51"/>
      <c r="AI812" s="51"/>
    </row>
    <row r="813" spans="7:35" ht="14.4">
      <c r="G813" s="51"/>
      <c r="I813" s="51"/>
      <c r="Z813" s="52"/>
      <c r="AF813" s="51"/>
      <c r="AG813" s="51"/>
      <c r="AH813" s="51"/>
      <c r="AI813" s="51"/>
    </row>
    <row r="814" spans="7:35" ht="14.4">
      <c r="G814" s="51"/>
      <c r="I814" s="51"/>
      <c r="Z814" s="52"/>
      <c r="AF814" s="51"/>
      <c r="AG814" s="51"/>
      <c r="AH814" s="51"/>
      <c r="AI814" s="51"/>
    </row>
    <row r="815" spans="7:35" ht="14.4">
      <c r="G815" s="51"/>
      <c r="I815" s="51"/>
      <c r="Z815" s="52"/>
      <c r="AF815" s="51"/>
      <c r="AG815" s="51"/>
      <c r="AH815" s="51"/>
      <c r="AI815" s="51"/>
    </row>
    <row r="816" spans="7:35" ht="14.4">
      <c r="G816" s="51"/>
      <c r="I816" s="51"/>
      <c r="Z816" s="52"/>
      <c r="AF816" s="51"/>
      <c r="AG816" s="51"/>
      <c r="AH816" s="51"/>
      <c r="AI816" s="51"/>
    </row>
    <row r="817" spans="7:35" ht="14.4">
      <c r="G817" s="51"/>
      <c r="I817" s="51"/>
      <c r="Z817" s="52"/>
      <c r="AF817" s="51"/>
      <c r="AG817" s="51"/>
      <c r="AH817" s="51"/>
      <c r="AI817" s="51"/>
    </row>
    <row r="818" spans="7:35" ht="14.4">
      <c r="G818" s="51"/>
      <c r="I818" s="51"/>
      <c r="Z818" s="52"/>
      <c r="AF818" s="51"/>
      <c r="AG818" s="51"/>
      <c r="AH818" s="51"/>
      <c r="AI818" s="51"/>
    </row>
    <row r="819" spans="7:35" ht="14.4">
      <c r="G819" s="51"/>
      <c r="I819" s="51"/>
      <c r="Z819" s="52"/>
      <c r="AF819" s="51"/>
      <c r="AG819" s="51"/>
      <c r="AH819" s="51"/>
      <c r="AI819" s="51"/>
    </row>
    <row r="820" spans="7:35" ht="14.4">
      <c r="G820" s="51"/>
      <c r="I820" s="51"/>
      <c r="Z820" s="52"/>
      <c r="AF820" s="51"/>
      <c r="AG820" s="51"/>
      <c r="AH820" s="51"/>
      <c r="AI820" s="51"/>
    </row>
    <row r="821" spans="7:35" ht="14.4">
      <c r="G821" s="51"/>
      <c r="I821" s="51"/>
      <c r="Z821" s="52"/>
      <c r="AF821" s="51"/>
      <c r="AG821" s="51"/>
      <c r="AH821" s="51"/>
      <c r="AI821" s="51"/>
    </row>
    <row r="822" spans="7:35" ht="14.4">
      <c r="G822" s="51"/>
      <c r="I822" s="51"/>
      <c r="Z822" s="52"/>
      <c r="AF822" s="51"/>
      <c r="AG822" s="51"/>
      <c r="AH822" s="51"/>
      <c r="AI822" s="51"/>
    </row>
    <row r="823" spans="7:35" ht="14.4">
      <c r="G823" s="51"/>
      <c r="I823" s="51"/>
      <c r="Z823" s="52"/>
      <c r="AF823" s="51"/>
      <c r="AG823" s="51"/>
      <c r="AH823" s="51"/>
      <c r="AI823" s="51"/>
    </row>
    <row r="824" spans="7:35" ht="14.4">
      <c r="G824" s="51"/>
      <c r="I824" s="51"/>
      <c r="Z824" s="52"/>
      <c r="AF824" s="51"/>
      <c r="AG824" s="51"/>
      <c r="AH824" s="51"/>
      <c r="AI824" s="51"/>
    </row>
    <row r="825" spans="7:35" ht="14.4">
      <c r="G825" s="51"/>
      <c r="I825" s="51"/>
      <c r="Z825" s="52"/>
      <c r="AF825" s="51"/>
      <c r="AG825" s="51"/>
      <c r="AH825" s="51"/>
      <c r="AI825" s="51"/>
    </row>
    <row r="826" spans="7:35" ht="14.4">
      <c r="G826" s="51"/>
      <c r="I826" s="51"/>
      <c r="Z826" s="52"/>
      <c r="AF826" s="51"/>
      <c r="AG826" s="51"/>
      <c r="AH826" s="51"/>
      <c r="AI826" s="51"/>
    </row>
    <row r="827" spans="7:35" ht="14.4">
      <c r="G827" s="51"/>
      <c r="I827" s="51"/>
      <c r="Z827" s="52"/>
      <c r="AF827" s="51"/>
      <c r="AG827" s="51"/>
      <c r="AH827" s="51"/>
      <c r="AI827" s="51"/>
    </row>
    <row r="828" spans="7:35" ht="14.4">
      <c r="G828" s="51"/>
      <c r="I828" s="51"/>
      <c r="Z828" s="52"/>
      <c r="AF828" s="51"/>
      <c r="AG828" s="51"/>
      <c r="AH828" s="51"/>
      <c r="AI828" s="51"/>
    </row>
    <row r="829" spans="7:35" ht="14.4">
      <c r="G829" s="51"/>
      <c r="I829" s="51"/>
      <c r="Z829" s="52"/>
      <c r="AF829" s="51"/>
      <c r="AG829" s="51"/>
      <c r="AH829" s="51"/>
      <c r="AI829" s="51"/>
    </row>
    <row r="830" spans="7:35" ht="14.4">
      <c r="G830" s="51"/>
      <c r="I830" s="51"/>
      <c r="Z830" s="52"/>
      <c r="AF830" s="51"/>
      <c r="AG830" s="51"/>
      <c r="AH830" s="51"/>
      <c r="AI830" s="51"/>
    </row>
    <row r="831" spans="7:35" ht="14.4">
      <c r="G831" s="51"/>
      <c r="I831" s="51"/>
      <c r="Z831" s="52"/>
      <c r="AF831" s="51"/>
      <c r="AG831" s="51"/>
      <c r="AH831" s="51"/>
      <c r="AI831" s="51"/>
    </row>
    <row r="832" spans="7:35" ht="14.4">
      <c r="G832" s="51"/>
      <c r="I832" s="51"/>
      <c r="Z832" s="52"/>
      <c r="AF832" s="51"/>
      <c r="AG832" s="51"/>
      <c r="AH832" s="51"/>
      <c r="AI832" s="51"/>
    </row>
    <row r="833" spans="7:35" ht="14.4">
      <c r="G833" s="51"/>
      <c r="I833" s="51"/>
      <c r="Z833" s="52"/>
      <c r="AF833" s="51"/>
      <c r="AG833" s="51"/>
      <c r="AH833" s="51"/>
      <c r="AI833" s="51"/>
    </row>
    <row r="834" spans="7:35" ht="14.4">
      <c r="G834" s="51"/>
      <c r="I834" s="51"/>
      <c r="Z834" s="52"/>
      <c r="AF834" s="51"/>
      <c r="AG834" s="51"/>
      <c r="AH834" s="51"/>
      <c r="AI834" s="51"/>
    </row>
    <row r="835" spans="7:35" ht="14.4">
      <c r="G835" s="51"/>
      <c r="I835" s="51"/>
      <c r="Z835" s="52"/>
      <c r="AF835" s="51"/>
      <c r="AG835" s="51"/>
      <c r="AH835" s="51"/>
      <c r="AI835" s="51"/>
    </row>
    <row r="836" spans="7:35" ht="14.4">
      <c r="G836" s="51"/>
      <c r="I836" s="51"/>
      <c r="Z836" s="52"/>
      <c r="AF836" s="51"/>
      <c r="AG836" s="51"/>
      <c r="AH836" s="51"/>
      <c r="AI836" s="51"/>
    </row>
    <row r="837" spans="7:35" ht="14.4">
      <c r="G837" s="51"/>
      <c r="I837" s="51"/>
      <c r="Z837" s="52"/>
      <c r="AF837" s="51"/>
      <c r="AG837" s="51"/>
      <c r="AH837" s="51"/>
      <c r="AI837" s="51"/>
    </row>
    <row r="838" spans="7:35" ht="14.4">
      <c r="G838" s="51"/>
      <c r="I838" s="51"/>
      <c r="Z838" s="52"/>
      <c r="AF838" s="51"/>
      <c r="AG838" s="51"/>
      <c r="AH838" s="51"/>
      <c r="AI838" s="51"/>
    </row>
    <row r="839" spans="7:35" ht="14.4">
      <c r="G839" s="51"/>
      <c r="I839" s="51"/>
      <c r="Z839" s="52"/>
      <c r="AF839" s="51"/>
      <c r="AG839" s="51"/>
      <c r="AH839" s="51"/>
      <c r="AI839" s="51"/>
    </row>
    <row r="840" spans="7:35" ht="14.4">
      <c r="G840" s="51"/>
      <c r="I840" s="51"/>
      <c r="Z840" s="52"/>
      <c r="AF840" s="51"/>
      <c r="AG840" s="51"/>
      <c r="AH840" s="51"/>
      <c r="AI840" s="51"/>
    </row>
    <row r="841" spans="7:35" ht="14.4">
      <c r="G841" s="51"/>
      <c r="I841" s="51"/>
      <c r="Z841" s="52"/>
      <c r="AF841" s="51"/>
      <c r="AG841" s="51"/>
      <c r="AH841" s="51"/>
      <c r="AI841" s="51"/>
    </row>
    <row r="842" spans="7:35" ht="14.4">
      <c r="G842" s="51"/>
      <c r="I842" s="51"/>
      <c r="Z842" s="52"/>
      <c r="AF842" s="51"/>
      <c r="AG842" s="51"/>
      <c r="AH842" s="51"/>
      <c r="AI842" s="51"/>
    </row>
    <row r="843" spans="7:35" ht="14.4">
      <c r="G843" s="51"/>
      <c r="I843" s="51"/>
      <c r="Z843" s="52"/>
      <c r="AF843" s="51"/>
      <c r="AG843" s="51"/>
      <c r="AH843" s="51"/>
      <c r="AI843" s="51"/>
    </row>
    <row r="844" spans="7:35" ht="14.4">
      <c r="G844" s="51"/>
      <c r="I844" s="51"/>
      <c r="Z844" s="52"/>
      <c r="AF844" s="51"/>
      <c r="AG844" s="51"/>
      <c r="AH844" s="51"/>
      <c r="AI844" s="51"/>
    </row>
    <row r="845" spans="7:35" ht="14.4">
      <c r="G845" s="51"/>
      <c r="I845" s="51"/>
      <c r="Z845" s="52"/>
      <c r="AF845" s="51"/>
      <c r="AG845" s="51"/>
      <c r="AH845" s="51"/>
      <c r="AI845" s="51"/>
    </row>
    <row r="846" spans="7:35" ht="14.4">
      <c r="G846" s="51"/>
      <c r="I846" s="51"/>
      <c r="Z846" s="52"/>
      <c r="AF846" s="51"/>
      <c r="AG846" s="51"/>
      <c r="AH846" s="51"/>
      <c r="AI846" s="51"/>
    </row>
    <row r="847" spans="7:35" ht="14.4">
      <c r="G847" s="51"/>
      <c r="I847" s="51"/>
      <c r="Z847" s="52"/>
      <c r="AF847" s="51"/>
      <c r="AG847" s="51"/>
      <c r="AH847" s="51"/>
      <c r="AI847" s="51"/>
    </row>
    <row r="848" spans="7:35" ht="14.4">
      <c r="G848" s="51"/>
      <c r="I848" s="51"/>
      <c r="Z848" s="52"/>
      <c r="AF848" s="51"/>
      <c r="AG848" s="51"/>
      <c r="AH848" s="51"/>
      <c r="AI848" s="51"/>
    </row>
    <row r="849" spans="7:35" ht="14.4">
      <c r="G849" s="51"/>
      <c r="I849" s="51"/>
      <c r="Z849" s="52"/>
      <c r="AF849" s="51"/>
      <c r="AG849" s="51"/>
      <c r="AH849" s="51"/>
      <c r="AI849" s="51"/>
    </row>
    <row r="850" spans="7:35" ht="14.4">
      <c r="G850" s="51"/>
      <c r="I850" s="51"/>
      <c r="Z850" s="52"/>
      <c r="AF850" s="51"/>
      <c r="AG850" s="51"/>
      <c r="AH850" s="51"/>
      <c r="AI850" s="51"/>
    </row>
    <row r="851" spans="7:35" ht="14.4">
      <c r="G851" s="51"/>
      <c r="I851" s="51"/>
      <c r="Z851" s="52"/>
      <c r="AF851" s="51"/>
      <c r="AG851" s="51"/>
      <c r="AH851" s="51"/>
      <c r="AI851" s="51"/>
    </row>
    <row r="852" spans="7:35" ht="14.4">
      <c r="G852" s="51"/>
      <c r="I852" s="51"/>
      <c r="Z852" s="52"/>
      <c r="AF852" s="51"/>
      <c r="AG852" s="51"/>
      <c r="AH852" s="51"/>
      <c r="AI852" s="51"/>
    </row>
    <row r="853" spans="7:35" ht="14.4">
      <c r="G853" s="51"/>
      <c r="I853" s="51"/>
      <c r="Z853" s="52"/>
      <c r="AF853" s="51"/>
      <c r="AG853" s="51"/>
      <c r="AH853" s="51"/>
      <c r="AI853" s="51"/>
    </row>
    <row r="854" spans="7:35" ht="14.4">
      <c r="G854" s="51"/>
      <c r="I854" s="51"/>
      <c r="Z854" s="52"/>
      <c r="AF854" s="51"/>
      <c r="AG854" s="51"/>
      <c r="AH854" s="51"/>
      <c r="AI854" s="51"/>
    </row>
    <row r="855" spans="7:35" ht="14.4">
      <c r="G855" s="51"/>
      <c r="I855" s="51"/>
      <c r="Z855" s="52"/>
      <c r="AF855" s="51"/>
      <c r="AG855" s="51"/>
      <c r="AH855" s="51"/>
      <c r="AI855" s="51"/>
    </row>
    <row r="856" spans="7:35" ht="14.4">
      <c r="G856" s="51"/>
      <c r="I856" s="51"/>
      <c r="Z856" s="52"/>
      <c r="AF856" s="51"/>
      <c r="AG856" s="51"/>
      <c r="AH856" s="51"/>
      <c r="AI856" s="51"/>
    </row>
    <row r="857" spans="7:35" ht="14.4">
      <c r="G857" s="51"/>
      <c r="I857" s="51"/>
      <c r="Z857" s="52"/>
      <c r="AF857" s="51"/>
      <c r="AG857" s="51"/>
      <c r="AH857" s="51"/>
      <c r="AI857" s="51"/>
    </row>
    <row r="858" spans="7:35" ht="14.4">
      <c r="G858" s="51"/>
      <c r="I858" s="51"/>
      <c r="Z858" s="52"/>
      <c r="AF858" s="51"/>
      <c r="AG858" s="51"/>
      <c r="AH858" s="51"/>
      <c r="AI858" s="51"/>
    </row>
    <row r="859" spans="7:35" ht="14.4">
      <c r="G859" s="51"/>
      <c r="I859" s="51"/>
      <c r="Z859" s="52"/>
      <c r="AF859" s="51"/>
      <c r="AG859" s="51"/>
      <c r="AH859" s="51"/>
      <c r="AI859" s="51"/>
    </row>
    <row r="860" spans="7:35" ht="14.4">
      <c r="G860" s="51"/>
      <c r="I860" s="51"/>
      <c r="Z860" s="52"/>
      <c r="AF860" s="51"/>
      <c r="AG860" s="51"/>
      <c r="AH860" s="51"/>
      <c r="AI860" s="51"/>
    </row>
    <row r="861" spans="7:35" ht="14.4">
      <c r="G861" s="51"/>
      <c r="I861" s="51"/>
      <c r="Z861" s="52"/>
      <c r="AF861" s="51"/>
      <c r="AG861" s="51"/>
      <c r="AH861" s="51"/>
      <c r="AI861" s="51"/>
    </row>
    <row r="862" spans="7:35" ht="14.4">
      <c r="G862" s="51"/>
      <c r="I862" s="51"/>
      <c r="Z862" s="52"/>
      <c r="AF862" s="51"/>
      <c r="AG862" s="51"/>
      <c r="AH862" s="51"/>
      <c r="AI862" s="51"/>
    </row>
    <row r="863" spans="7:35" ht="14.4">
      <c r="G863" s="51"/>
      <c r="I863" s="51"/>
      <c r="Z863" s="52"/>
      <c r="AF863" s="51"/>
      <c r="AG863" s="51"/>
      <c r="AH863" s="51"/>
      <c r="AI863" s="51"/>
    </row>
    <row r="864" spans="7:35" ht="14.4">
      <c r="G864" s="51"/>
      <c r="I864" s="51"/>
      <c r="Z864" s="52"/>
      <c r="AF864" s="51"/>
      <c r="AG864" s="51"/>
      <c r="AH864" s="51"/>
      <c r="AI864" s="51"/>
    </row>
    <row r="865" spans="7:35" ht="14.4">
      <c r="G865" s="51"/>
      <c r="I865" s="51"/>
      <c r="Z865" s="52"/>
      <c r="AF865" s="51"/>
      <c r="AG865" s="51"/>
      <c r="AH865" s="51"/>
      <c r="AI865" s="51"/>
    </row>
    <row r="866" spans="7:35" ht="14.4">
      <c r="G866" s="51"/>
      <c r="I866" s="51"/>
      <c r="Z866" s="52"/>
      <c r="AF866" s="51"/>
      <c r="AG866" s="51"/>
      <c r="AH866" s="51"/>
      <c r="AI866" s="51"/>
    </row>
    <row r="867" spans="7:35" ht="14.4">
      <c r="G867" s="51"/>
      <c r="I867" s="51"/>
      <c r="Z867" s="52"/>
      <c r="AF867" s="51"/>
      <c r="AG867" s="51"/>
      <c r="AH867" s="51"/>
      <c r="AI867" s="51"/>
    </row>
    <row r="868" spans="7:35" ht="14.4">
      <c r="G868" s="51"/>
      <c r="I868" s="51"/>
      <c r="Z868" s="52"/>
      <c r="AF868" s="51"/>
      <c r="AG868" s="51"/>
      <c r="AH868" s="51"/>
      <c r="AI868" s="51"/>
    </row>
    <row r="869" spans="7:35" ht="14.4">
      <c r="G869" s="51"/>
      <c r="I869" s="51"/>
      <c r="Z869" s="52"/>
      <c r="AF869" s="51"/>
      <c r="AG869" s="51"/>
      <c r="AH869" s="51"/>
      <c r="AI869" s="51"/>
    </row>
    <row r="870" spans="7:35" ht="14.4">
      <c r="G870" s="51"/>
      <c r="I870" s="51"/>
      <c r="Z870" s="52"/>
      <c r="AF870" s="51"/>
      <c r="AG870" s="51"/>
      <c r="AH870" s="51"/>
      <c r="AI870" s="51"/>
    </row>
    <row r="871" spans="7:35" ht="14.4">
      <c r="G871" s="51"/>
      <c r="I871" s="51"/>
      <c r="Z871" s="52"/>
      <c r="AF871" s="51"/>
      <c r="AG871" s="51"/>
      <c r="AH871" s="51"/>
      <c r="AI871" s="51"/>
    </row>
    <row r="872" spans="7:35" ht="14.4">
      <c r="G872" s="51"/>
      <c r="I872" s="51"/>
      <c r="Z872" s="52"/>
      <c r="AF872" s="51"/>
      <c r="AG872" s="51"/>
      <c r="AH872" s="51"/>
      <c r="AI872" s="51"/>
    </row>
    <row r="873" spans="7:35" ht="14.4">
      <c r="G873" s="51"/>
      <c r="I873" s="51"/>
      <c r="Z873" s="52"/>
      <c r="AF873" s="51"/>
      <c r="AG873" s="51"/>
      <c r="AH873" s="51"/>
      <c r="AI873" s="51"/>
    </row>
    <row r="874" spans="7:35" ht="14.4">
      <c r="G874" s="51"/>
      <c r="I874" s="51"/>
      <c r="Z874" s="52"/>
      <c r="AF874" s="51"/>
      <c r="AG874" s="51"/>
      <c r="AH874" s="51"/>
      <c r="AI874" s="51"/>
    </row>
    <row r="875" spans="7:35" ht="14.4">
      <c r="G875" s="51"/>
      <c r="I875" s="51"/>
      <c r="Z875" s="52"/>
      <c r="AF875" s="51"/>
      <c r="AG875" s="51"/>
      <c r="AH875" s="51"/>
      <c r="AI875" s="51"/>
    </row>
    <row r="876" spans="7:35" ht="14.4">
      <c r="G876" s="51"/>
      <c r="I876" s="51"/>
      <c r="Z876" s="52"/>
      <c r="AF876" s="51"/>
      <c r="AG876" s="51"/>
      <c r="AH876" s="51"/>
      <c r="AI876" s="51"/>
    </row>
    <row r="877" spans="7:35" ht="14.4">
      <c r="G877" s="51"/>
      <c r="I877" s="51"/>
      <c r="Z877" s="52"/>
      <c r="AF877" s="51"/>
      <c r="AG877" s="51"/>
      <c r="AH877" s="51"/>
      <c r="AI877" s="51"/>
    </row>
    <row r="878" spans="7:35" ht="14.4">
      <c r="G878" s="51"/>
      <c r="I878" s="51"/>
      <c r="Z878" s="52"/>
      <c r="AF878" s="51"/>
      <c r="AG878" s="51"/>
      <c r="AH878" s="51"/>
      <c r="AI878" s="51"/>
    </row>
    <row r="879" spans="7:35" ht="14.4">
      <c r="G879" s="51"/>
      <c r="I879" s="51"/>
      <c r="Z879" s="52"/>
      <c r="AF879" s="51"/>
      <c r="AG879" s="51"/>
      <c r="AH879" s="51"/>
      <c r="AI879" s="51"/>
    </row>
    <row r="880" spans="7:35" ht="14.4">
      <c r="G880" s="51"/>
      <c r="I880" s="51"/>
      <c r="Z880" s="52"/>
      <c r="AF880" s="51"/>
      <c r="AG880" s="51"/>
      <c r="AH880" s="51"/>
      <c r="AI880" s="51"/>
    </row>
    <row r="881" spans="7:35" ht="14.4">
      <c r="G881" s="51"/>
      <c r="I881" s="51"/>
      <c r="Z881" s="52"/>
      <c r="AF881" s="51"/>
      <c r="AG881" s="51"/>
      <c r="AH881" s="51"/>
      <c r="AI881" s="51"/>
    </row>
    <row r="882" spans="7:35" ht="14.4">
      <c r="G882" s="51"/>
      <c r="I882" s="51"/>
      <c r="Z882" s="52"/>
      <c r="AF882" s="51"/>
      <c r="AG882" s="51"/>
      <c r="AH882" s="51"/>
      <c r="AI882" s="51"/>
    </row>
    <row r="883" spans="7:35" ht="14.4">
      <c r="G883" s="51"/>
      <c r="I883" s="51"/>
      <c r="Z883" s="52"/>
      <c r="AF883" s="51"/>
      <c r="AG883" s="51"/>
      <c r="AH883" s="51"/>
      <c r="AI883" s="51"/>
    </row>
    <row r="884" spans="7:35" ht="14.4">
      <c r="G884" s="51"/>
      <c r="I884" s="51"/>
      <c r="Z884" s="52"/>
      <c r="AF884" s="51"/>
      <c r="AG884" s="51"/>
      <c r="AH884" s="51"/>
      <c r="AI884" s="51"/>
    </row>
    <row r="885" spans="7:35" ht="14.4">
      <c r="G885" s="51"/>
      <c r="I885" s="51"/>
      <c r="Z885" s="52"/>
      <c r="AF885" s="51"/>
      <c r="AG885" s="51"/>
      <c r="AH885" s="51"/>
      <c r="AI885" s="51"/>
    </row>
    <row r="886" spans="7:35" ht="14.4">
      <c r="G886" s="51"/>
      <c r="I886" s="51"/>
      <c r="Z886" s="52"/>
      <c r="AF886" s="51"/>
      <c r="AG886" s="51"/>
      <c r="AH886" s="51"/>
      <c r="AI886" s="51"/>
    </row>
    <row r="887" spans="7:35" ht="14.4">
      <c r="G887" s="51"/>
      <c r="I887" s="51"/>
      <c r="Z887" s="52"/>
      <c r="AF887" s="51"/>
      <c r="AG887" s="51"/>
      <c r="AH887" s="51"/>
      <c r="AI887" s="51"/>
    </row>
    <row r="888" spans="7:35" ht="14.4">
      <c r="G888" s="51"/>
      <c r="I888" s="51"/>
      <c r="Z888" s="52"/>
      <c r="AF888" s="51"/>
      <c r="AG888" s="51"/>
      <c r="AH888" s="51"/>
      <c r="AI888" s="51"/>
    </row>
    <row r="889" spans="7:35" ht="14.4">
      <c r="G889" s="51"/>
      <c r="I889" s="51"/>
      <c r="Z889" s="52"/>
      <c r="AF889" s="51"/>
      <c r="AG889" s="51"/>
      <c r="AH889" s="51"/>
      <c r="AI889" s="51"/>
    </row>
    <row r="890" spans="7:35" ht="14.4">
      <c r="G890" s="51"/>
      <c r="I890" s="51"/>
      <c r="Z890" s="52"/>
      <c r="AF890" s="51"/>
      <c r="AG890" s="51"/>
      <c r="AH890" s="51"/>
      <c r="AI890" s="51"/>
    </row>
    <row r="891" spans="7:35" ht="14.4">
      <c r="G891" s="51"/>
      <c r="I891" s="51"/>
      <c r="Z891" s="52"/>
      <c r="AF891" s="51"/>
      <c r="AG891" s="51"/>
      <c r="AH891" s="51"/>
      <c r="AI891" s="51"/>
    </row>
    <row r="892" spans="7:35" ht="14.4">
      <c r="G892" s="51"/>
      <c r="I892" s="51"/>
      <c r="Z892" s="52"/>
      <c r="AF892" s="51"/>
      <c r="AG892" s="51"/>
      <c r="AH892" s="51"/>
      <c r="AI892" s="51"/>
    </row>
    <row r="893" spans="7:35" ht="14.4">
      <c r="G893" s="51"/>
      <c r="I893" s="51"/>
      <c r="Z893" s="52"/>
      <c r="AF893" s="51"/>
      <c r="AG893" s="51"/>
      <c r="AH893" s="51"/>
      <c r="AI893" s="51"/>
    </row>
    <row r="894" spans="7:35" ht="14.4">
      <c r="G894" s="51"/>
      <c r="I894" s="51"/>
      <c r="Z894" s="52"/>
      <c r="AF894" s="51"/>
      <c r="AG894" s="51"/>
      <c r="AH894" s="51"/>
      <c r="AI894" s="51"/>
    </row>
    <row r="895" spans="7:35" ht="14.4">
      <c r="G895" s="51"/>
      <c r="I895" s="51"/>
      <c r="Z895" s="52"/>
      <c r="AF895" s="51"/>
      <c r="AG895" s="51"/>
      <c r="AH895" s="51"/>
      <c r="AI895" s="51"/>
    </row>
    <row r="896" spans="7:35" ht="14.4">
      <c r="G896" s="51"/>
      <c r="I896" s="51"/>
      <c r="Z896" s="52"/>
      <c r="AF896" s="51"/>
      <c r="AG896" s="51"/>
      <c r="AH896" s="51"/>
      <c r="AI896" s="51"/>
    </row>
    <row r="897" spans="7:35" ht="14.4">
      <c r="G897" s="51"/>
      <c r="I897" s="51"/>
      <c r="Z897" s="52"/>
      <c r="AF897" s="51"/>
      <c r="AG897" s="51"/>
      <c r="AH897" s="51"/>
      <c r="AI897" s="51"/>
    </row>
    <row r="898" spans="7:35" ht="14.4">
      <c r="G898" s="51"/>
      <c r="I898" s="51"/>
      <c r="Z898" s="52"/>
      <c r="AF898" s="51"/>
      <c r="AG898" s="51"/>
      <c r="AH898" s="51"/>
      <c r="AI898" s="51"/>
    </row>
    <row r="899" spans="7:35" ht="14.4">
      <c r="G899" s="51"/>
      <c r="I899" s="51"/>
      <c r="Z899" s="52"/>
      <c r="AF899" s="51"/>
      <c r="AG899" s="51"/>
      <c r="AH899" s="51"/>
      <c r="AI899" s="51"/>
    </row>
    <row r="900" spans="7:35" ht="14.4">
      <c r="G900" s="51"/>
      <c r="I900" s="51"/>
      <c r="Z900" s="52"/>
      <c r="AF900" s="51"/>
      <c r="AG900" s="51"/>
      <c r="AH900" s="51"/>
      <c r="AI900" s="51"/>
    </row>
    <row r="901" spans="7:35" ht="14.4">
      <c r="G901" s="51"/>
      <c r="I901" s="51"/>
      <c r="Z901" s="52"/>
      <c r="AF901" s="51"/>
      <c r="AG901" s="51"/>
      <c r="AH901" s="51"/>
      <c r="AI901" s="51"/>
    </row>
    <row r="902" spans="7:35" ht="14.4">
      <c r="G902" s="51"/>
      <c r="I902" s="51"/>
      <c r="Z902" s="52"/>
      <c r="AF902" s="51"/>
      <c r="AG902" s="51"/>
      <c r="AH902" s="51"/>
      <c r="AI902" s="51"/>
    </row>
    <row r="903" spans="7:35" ht="14.4">
      <c r="G903" s="51"/>
      <c r="I903" s="51"/>
      <c r="Z903" s="52"/>
      <c r="AF903" s="51"/>
      <c r="AG903" s="51"/>
      <c r="AH903" s="51"/>
      <c r="AI903" s="51"/>
    </row>
    <row r="904" spans="7:35" ht="14.4">
      <c r="G904" s="51"/>
      <c r="I904" s="51"/>
      <c r="Z904" s="52"/>
      <c r="AF904" s="51"/>
      <c r="AG904" s="51"/>
      <c r="AH904" s="51"/>
      <c r="AI904" s="51"/>
    </row>
    <row r="905" spans="7:35" ht="14.4">
      <c r="G905" s="51"/>
      <c r="I905" s="51"/>
      <c r="Z905" s="52"/>
      <c r="AF905" s="51"/>
      <c r="AG905" s="51"/>
      <c r="AH905" s="51"/>
      <c r="AI905" s="51"/>
    </row>
    <row r="906" spans="7:35" ht="14.4">
      <c r="G906" s="51"/>
      <c r="I906" s="51"/>
      <c r="Z906" s="52"/>
      <c r="AF906" s="51"/>
      <c r="AG906" s="51"/>
      <c r="AH906" s="51"/>
      <c r="AI906" s="51"/>
    </row>
    <row r="907" spans="7:35" ht="14.4">
      <c r="G907" s="51"/>
      <c r="I907" s="51"/>
      <c r="Z907" s="52"/>
      <c r="AF907" s="51"/>
      <c r="AG907" s="51"/>
      <c r="AH907" s="51"/>
      <c r="AI907" s="51"/>
    </row>
    <row r="908" spans="7:35" ht="14.4">
      <c r="G908" s="51"/>
      <c r="I908" s="51"/>
      <c r="Z908" s="52"/>
      <c r="AF908" s="51"/>
      <c r="AG908" s="51"/>
      <c r="AH908" s="51"/>
      <c r="AI908" s="51"/>
    </row>
    <row r="909" spans="7:35" ht="14.4">
      <c r="G909" s="51"/>
      <c r="I909" s="51"/>
      <c r="Z909" s="52"/>
      <c r="AF909" s="51"/>
      <c r="AG909" s="51"/>
      <c r="AH909" s="51"/>
      <c r="AI909" s="51"/>
    </row>
    <row r="910" spans="7:35" ht="14.4">
      <c r="G910" s="51"/>
      <c r="I910" s="51"/>
      <c r="Z910" s="52"/>
      <c r="AF910" s="51"/>
      <c r="AG910" s="51"/>
      <c r="AH910" s="51"/>
      <c r="AI910" s="51"/>
    </row>
    <row r="911" spans="7:35" ht="14.4">
      <c r="G911" s="51"/>
      <c r="I911" s="51"/>
      <c r="Z911" s="52"/>
      <c r="AF911" s="51"/>
      <c r="AG911" s="51"/>
      <c r="AH911" s="51"/>
      <c r="AI911" s="51"/>
    </row>
    <row r="912" spans="7:35" ht="14.4">
      <c r="G912" s="51"/>
      <c r="I912" s="51"/>
      <c r="Z912" s="52"/>
      <c r="AF912" s="51"/>
      <c r="AG912" s="51"/>
      <c r="AH912" s="51"/>
      <c r="AI912" s="51"/>
    </row>
    <row r="913" spans="7:35" ht="14.4">
      <c r="G913" s="51"/>
      <c r="I913" s="51"/>
      <c r="Z913" s="52"/>
      <c r="AF913" s="51"/>
      <c r="AG913" s="51"/>
      <c r="AH913" s="51"/>
      <c r="AI913" s="51"/>
    </row>
    <row r="914" spans="7:35" ht="14.4">
      <c r="G914" s="51"/>
      <c r="I914" s="51"/>
      <c r="Z914" s="52"/>
      <c r="AF914" s="51"/>
      <c r="AG914" s="51"/>
      <c r="AH914" s="51"/>
      <c r="AI914" s="51"/>
    </row>
    <row r="915" spans="7:35" ht="14.4">
      <c r="G915" s="51"/>
      <c r="I915" s="51"/>
      <c r="Z915" s="52"/>
      <c r="AF915" s="51"/>
      <c r="AG915" s="51"/>
      <c r="AH915" s="51"/>
      <c r="AI915" s="51"/>
    </row>
    <row r="916" spans="7:35" ht="14.4">
      <c r="G916" s="51"/>
      <c r="I916" s="51"/>
      <c r="Z916" s="52"/>
      <c r="AF916" s="51"/>
      <c r="AG916" s="51"/>
      <c r="AH916" s="51"/>
      <c r="AI916" s="51"/>
    </row>
    <row r="917" spans="7:35" ht="14.4">
      <c r="G917" s="51"/>
      <c r="I917" s="51"/>
      <c r="Z917" s="52"/>
      <c r="AF917" s="51"/>
      <c r="AG917" s="51"/>
      <c r="AH917" s="51"/>
      <c r="AI917" s="51"/>
    </row>
    <row r="918" spans="7:35" ht="14.4">
      <c r="G918" s="51"/>
      <c r="I918" s="51"/>
      <c r="Z918" s="52"/>
      <c r="AF918" s="51"/>
      <c r="AG918" s="51"/>
      <c r="AH918" s="51"/>
      <c r="AI918" s="51"/>
    </row>
    <row r="919" spans="7:35" ht="14.4">
      <c r="G919" s="51"/>
      <c r="I919" s="51"/>
      <c r="Z919" s="52"/>
      <c r="AF919" s="51"/>
      <c r="AG919" s="51"/>
      <c r="AH919" s="51"/>
      <c r="AI919" s="51"/>
    </row>
    <row r="920" spans="7:35" ht="14.4">
      <c r="G920" s="51"/>
      <c r="I920" s="51"/>
      <c r="Z920" s="52"/>
      <c r="AF920" s="51"/>
      <c r="AG920" s="51"/>
      <c r="AH920" s="51"/>
      <c r="AI920" s="51"/>
    </row>
    <row r="921" spans="7:35" ht="14.4">
      <c r="G921" s="51"/>
      <c r="I921" s="51"/>
      <c r="Z921" s="52"/>
      <c r="AF921" s="51"/>
      <c r="AG921" s="51"/>
      <c r="AH921" s="51"/>
      <c r="AI921" s="51"/>
    </row>
    <row r="922" spans="7:35" ht="14.4">
      <c r="G922" s="51"/>
      <c r="I922" s="51"/>
      <c r="Z922" s="52"/>
      <c r="AF922" s="51"/>
      <c r="AG922" s="51"/>
      <c r="AH922" s="51"/>
      <c r="AI922" s="51"/>
    </row>
    <row r="923" spans="7:35" ht="14.4">
      <c r="G923" s="51"/>
      <c r="I923" s="51"/>
      <c r="Z923" s="52"/>
      <c r="AF923" s="51"/>
      <c r="AG923" s="51"/>
      <c r="AH923" s="51"/>
      <c r="AI923" s="51"/>
    </row>
    <row r="924" spans="7:35" ht="14.4">
      <c r="G924" s="51"/>
      <c r="I924" s="51"/>
      <c r="Z924" s="52"/>
      <c r="AF924" s="51"/>
      <c r="AG924" s="51"/>
      <c r="AH924" s="51"/>
      <c r="AI924" s="51"/>
    </row>
    <row r="925" spans="7:35" ht="14.4">
      <c r="G925" s="51"/>
      <c r="I925" s="51"/>
      <c r="Z925" s="52"/>
      <c r="AF925" s="51"/>
      <c r="AG925" s="51"/>
      <c r="AH925" s="51"/>
      <c r="AI925" s="51"/>
    </row>
    <row r="926" spans="7:35" ht="14.4">
      <c r="G926" s="51"/>
      <c r="I926" s="51"/>
      <c r="Z926" s="52"/>
      <c r="AF926" s="51"/>
      <c r="AG926" s="51"/>
      <c r="AH926" s="51"/>
      <c r="AI926" s="51"/>
    </row>
    <row r="927" spans="7:35" ht="14.4">
      <c r="G927" s="51"/>
      <c r="I927" s="51"/>
      <c r="Z927" s="52"/>
      <c r="AF927" s="51"/>
      <c r="AG927" s="51"/>
      <c r="AH927" s="51"/>
      <c r="AI927" s="51"/>
    </row>
    <row r="928" spans="7:35" ht="14.4">
      <c r="G928" s="51"/>
      <c r="I928" s="51"/>
      <c r="Z928" s="52"/>
      <c r="AF928" s="51"/>
      <c r="AG928" s="51"/>
      <c r="AH928" s="51"/>
      <c r="AI928" s="51"/>
    </row>
    <row r="929" spans="7:35" ht="14.4">
      <c r="G929" s="51"/>
      <c r="I929" s="51"/>
      <c r="Z929" s="52"/>
      <c r="AF929" s="51"/>
      <c r="AG929" s="51"/>
      <c r="AH929" s="51"/>
      <c r="AI929" s="51"/>
    </row>
    <row r="930" spans="7:35" ht="14.4">
      <c r="G930" s="51"/>
      <c r="I930" s="51"/>
      <c r="Z930" s="52"/>
      <c r="AF930" s="51"/>
      <c r="AG930" s="51"/>
      <c r="AH930" s="51"/>
      <c r="AI930" s="51"/>
    </row>
    <row r="931" spans="7:35" ht="14.4">
      <c r="G931" s="51"/>
      <c r="I931" s="51"/>
      <c r="Z931" s="52"/>
      <c r="AF931" s="51"/>
      <c r="AG931" s="51"/>
      <c r="AH931" s="51"/>
      <c r="AI931" s="51"/>
    </row>
    <row r="932" spans="7:35" ht="14.4">
      <c r="G932" s="51"/>
      <c r="I932" s="51"/>
      <c r="Z932" s="52"/>
      <c r="AF932" s="51"/>
      <c r="AG932" s="51"/>
      <c r="AH932" s="51"/>
      <c r="AI932" s="51"/>
    </row>
    <row r="933" spans="7:35" ht="14.4">
      <c r="G933" s="51"/>
      <c r="I933" s="51"/>
      <c r="Z933" s="52"/>
      <c r="AF933" s="51"/>
      <c r="AG933" s="51"/>
      <c r="AH933" s="51"/>
      <c r="AI933" s="51"/>
    </row>
    <row r="934" spans="7:35" ht="14.4">
      <c r="G934" s="51"/>
      <c r="I934" s="51"/>
      <c r="Z934" s="52"/>
      <c r="AF934" s="51"/>
      <c r="AG934" s="51"/>
      <c r="AH934" s="51"/>
      <c r="AI934" s="51"/>
    </row>
    <row r="935" spans="7:35" ht="14.4">
      <c r="G935" s="51"/>
      <c r="I935" s="51"/>
      <c r="Z935" s="52"/>
      <c r="AF935" s="51"/>
      <c r="AG935" s="51"/>
      <c r="AH935" s="51"/>
      <c r="AI935" s="51"/>
    </row>
    <row r="936" spans="7:35" ht="14.4">
      <c r="G936" s="51"/>
      <c r="I936" s="51"/>
      <c r="Z936" s="52"/>
      <c r="AF936" s="51"/>
      <c r="AG936" s="51"/>
      <c r="AH936" s="51"/>
      <c r="AI936" s="51"/>
    </row>
    <row r="937" spans="7:35" ht="14.4">
      <c r="G937" s="51"/>
      <c r="I937" s="51"/>
      <c r="Z937" s="52"/>
      <c r="AF937" s="51"/>
      <c r="AG937" s="51"/>
      <c r="AH937" s="51"/>
      <c r="AI937" s="51"/>
    </row>
    <row r="938" spans="7:35" ht="14.4">
      <c r="G938" s="51"/>
      <c r="I938" s="51"/>
      <c r="Z938" s="52"/>
      <c r="AF938" s="51"/>
      <c r="AG938" s="51"/>
      <c r="AH938" s="51"/>
      <c r="AI938" s="51"/>
    </row>
    <row r="939" spans="7:35" ht="14.4">
      <c r="G939" s="51"/>
      <c r="I939" s="51"/>
      <c r="Z939" s="52"/>
      <c r="AF939" s="51"/>
      <c r="AG939" s="51"/>
      <c r="AH939" s="51"/>
      <c r="AI939" s="51"/>
    </row>
    <row r="940" spans="7:35" ht="14.4">
      <c r="G940" s="51"/>
      <c r="I940" s="51"/>
      <c r="Z940" s="52"/>
      <c r="AF940" s="51"/>
      <c r="AG940" s="51"/>
      <c r="AH940" s="51"/>
      <c r="AI940" s="51"/>
    </row>
    <row r="941" spans="7:35" ht="14.4">
      <c r="G941" s="51"/>
      <c r="I941" s="51"/>
      <c r="Z941" s="52"/>
      <c r="AF941" s="51"/>
      <c r="AG941" s="51"/>
      <c r="AH941" s="51"/>
      <c r="AI941" s="51"/>
    </row>
    <row r="942" spans="7:35" ht="14.4">
      <c r="G942" s="51"/>
      <c r="I942" s="51"/>
      <c r="Z942" s="52"/>
      <c r="AF942" s="51"/>
      <c r="AG942" s="51"/>
      <c r="AH942" s="51"/>
      <c r="AI942" s="51"/>
    </row>
    <row r="943" spans="7:35" ht="14.4">
      <c r="G943" s="51"/>
      <c r="I943" s="51"/>
      <c r="Z943" s="52"/>
      <c r="AF943" s="51"/>
      <c r="AG943" s="51"/>
      <c r="AH943" s="51"/>
      <c r="AI943" s="51"/>
    </row>
    <row r="944" spans="7:35" ht="14.4">
      <c r="G944" s="51"/>
      <c r="I944" s="51"/>
      <c r="Z944" s="52"/>
      <c r="AF944" s="51"/>
      <c r="AG944" s="51"/>
      <c r="AH944" s="51"/>
      <c r="AI944" s="51"/>
    </row>
    <row r="945" spans="7:35" ht="14.4">
      <c r="G945" s="51"/>
      <c r="I945" s="51"/>
      <c r="Z945" s="52"/>
      <c r="AF945" s="51"/>
      <c r="AG945" s="51"/>
      <c r="AH945" s="51"/>
      <c r="AI945" s="51"/>
    </row>
    <row r="946" spans="7:35" ht="14.4">
      <c r="G946" s="51"/>
      <c r="I946" s="51"/>
      <c r="Z946" s="52"/>
      <c r="AF946" s="51"/>
      <c r="AG946" s="51"/>
      <c r="AH946" s="51"/>
      <c r="AI946" s="51"/>
    </row>
    <row r="947" spans="7:35" ht="14.4">
      <c r="G947" s="51"/>
      <c r="I947" s="51"/>
      <c r="Z947" s="52"/>
      <c r="AF947" s="51"/>
      <c r="AG947" s="51"/>
      <c r="AH947" s="51"/>
      <c r="AI947" s="51"/>
    </row>
    <row r="948" spans="7:35" ht="14.4">
      <c r="G948" s="51"/>
      <c r="I948" s="51"/>
      <c r="Z948" s="52"/>
      <c r="AF948" s="51"/>
      <c r="AG948" s="51"/>
      <c r="AH948" s="51"/>
      <c r="AI948" s="51"/>
    </row>
    <row r="949" spans="7:35" ht="14.4">
      <c r="G949" s="51"/>
      <c r="I949" s="51"/>
      <c r="Z949" s="52"/>
      <c r="AF949" s="51"/>
      <c r="AG949" s="51"/>
      <c r="AH949" s="51"/>
      <c r="AI949" s="51"/>
    </row>
    <row r="950" spans="7:35" ht="14.4">
      <c r="G950" s="51"/>
      <c r="I950" s="51"/>
      <c r="Z950" s="52"/>
      <c r="AF950" s="51"/>
      <c r="AG950" s="51"/>
      <c r="AH950" s="51"/>
      <c r="AI950" s="51"/>
    </row>
    <row r="951" spans="7:35" ht="14.4">
      <c r="G951" s="51"/>
      <c r="I951" s="51"/>
      <c r="Z951" s="52"/>
      <c r="AF951" s="51"/>
      <c r="AG951" s="51"/>
      <c r="AH951" s="51"/>
      <c r="AI951" s="51"/>
    </row>
    <row r="952" spans="7:35" ht="14.4">
      <c r="G952" s="51"/>
      <c r="I952" s="51"/>
      <c r="Z952" s="52"/>
      <c r="AF952" s="51"/>
      <c r="AG952" s="51"/>
      <c r="AH952" s="51"/>
      <c r="AI952" s="51"/>
    </row>
    <row r="953" spans="7:35" ht="14.4">
      <c r="G953" s="51"/>
      <c r="I953" s="51"/>
      <c r="Z953" s="52"/>
      <c r="AF953" s="51"/>
      <c r="AG953" s="51"/>
      <c r="AH953" s="51"/>
      <c r="AI953" s="51"/>
    </row>
    <row r="954" spans="7:35" ht="14.4">
      <c r="G954" s="51"/>
      <c r="I954" s="51"/>
      <c r="Z954" s="52"/>
      <c r="AF954" s="51"/>
      <c r="AG954" s="51"/>
      <c r="AH954" s="51"/>
      <c r="AI954" s="51"/>
    </row>
    <row r="955" spans="7:35" ht="14.4">
      <c r="G955" s="51"/>
      <c r="I955" s="51"/>
      <c r="Z955" s="52"/>
      <c r="AF955" s="51"/>
      <c r="AG955" s="51"/>
      <c r="AH955" s="51"/>
      <c r="AI955" s="51"/>
    </row>
    <row r="956" spans="7:35" ht="14.4">
      <c r="G956" s="51"/>
      <c r="I956" s="51"/>
      <c r="Z956" s="52"/>
      <c r="AF956" s="51"/>
      <c r="AG956" s="51"/>
      <c r="AH956" s="51"/>
      <c r="AI956" s="51"/>
    </row>
    <row r="957" spans="7:35" ht="14.4">
      <c r="G957" s="51"/>
      <c r="I957" s="51"/>
      <c r="Z957" s="52"/>
      <c r="AF957" s="51"/>
      <c r="AG957" s="51"/>
      <c r="AH957" s="51"/>
      <c r="AI957" s="51"/>
    </row>
    <row r="958" spans="7:35" ht="14.4">
      <c r="G958" s="51"/>
      <c r="I958" s="51"/>
      <c r="Z958" s="52"/>
      <c r="AF958" s="51"/>
      <c r="AG958" s="51"/>
      <c r="AH958" s="51"/>
      <c r="AI958" s="51"/>
    </row>
    <row r="959" spans="7:35" ht="14.4">
      <c r="G959" s="51"/>
      <c r="I959" s="51"/>
      <c r="Z959" s="52"/>
      <c r="AF959" s="51"/>
      <c r="AG959" s="51"/>
      <c r="AH959" s="51"/>
      <c r="AI959" s="51"/>
    </row>
    <row r="960" spans="7:35" ht="14.4">
      <c r="G960" s="51"/>
      <c r="I960" s="51"/>
      <c r="Z960" s="52"/>
      <c r="AF960" s="51"/>
      <c r="AG960" s="51"/>
      <c r="AH960" s="51"/>
      <c r="AI960" s="51"/>
    </row>
    <row r="961" spans="7:35" ht="14.4">
      <c r="G961" s="51"/>
      <c r="I961" s="51"/>
      <c r="Z961" s="52"/>
      <c r="AF961" s="51"/>
      <c r="AG961" s="51"/>
      <c r="AH961" s="51"/>
      <c r="AI961" s="51"/>
    </row>
    <row r="962" spans="7:35" ht="14.4">
      <c r="G962" s="51"/>
      <c r="I962" s="51"/>
      <c r="Z962" s="52"/>
      <c r="AF962" s="51"/>
      <c r="AG962" s="51"/>
      <c r="AH962" s="51"/>
      <c r="AI962" s="51"/>
    </row>
    <row r="963" spans="7:35" ht="14.4">
      <c r="G963" s="51"/>
      <c r="I963" s="51"/>
      <c r="Z963" s="52"/>
      <c r="AF963" s="51"/>
      <c r="AG963" s="51"/>
      <c r="AH963" s="51"/>
      <c r="AI963" s="51"/>
    </row>
    <row r="964" spans="7:35" ht="14.4">
      <c r="G964" s="51"/>
      <c r="I964" s="51"/>
      <c r="Z964" s="52"/>
      <c r="AF964" s="51"/>
      <c r="AG964" s="51"/>
      <c r="AH964" s="51"/>
      <c r="AI964" s="51"/>
    </row>
    <row r="965" spans="7:35" ht="14.4">
      <c r="G965" s="51"/>
      <c r="I965" s="51"/>
      <c r="Z965" s="52"/>
      <c r="AF965" s="51"/>
      <c r="AG965" s="51"/>
      <c r="AH965" s="51"/>
      <c r="AI965" s="51"/>
    </row>
    <row r="966" spans="7:35" ht="14.4">
      <c r="G966" s="51"/>
      <c r="I966" s="51"/>
      <c r="Z966" s="52"/>
      <c r="AF966" s="51"/>
      <c r="AG966" s="51"/>
      <c r="AH966" s="51"/>
      <c r="AI966" s="51"/>
    </row>
    <row r="967" spans="7:35" ht="14.4">
      <c r="G967" s="51"/>
      <c r="I967" s="51"/>
      <c r="Z967" s="52"/>
      <c r="AF967" s="51"/>
      <c r="AG967" s="51"/>
      <c r="AH967" s="51"/>
      <c r="AI967" s="51"/>
    </row>
    <row r="968" spans="7:35" ht="14.4">
      <c r="G968" s="51"/>
      <c r="I968" s="51"/>
      <c r="Z968" s="52"/>
      <c r="AF968" s="51"/>
      <c r="AG968" s="51"/>
      <c r="AH968" s="51"/>
      <c r="AI968" s="51"/>
    </row>
    <row r="969" spans="7:35" ht="14.4">
      <c r="G969" s="51"/>
      <c r="I969" s="51"/>
      <c r="Z969" s="52"/>
      <c r="AF969" s="51"/>
      <c r="AG969" s="51"/>
      <c r="AH969" s="51"/>
      <c r="AI969" s="51"/>
    </row>
    <row r="970" spans="7:35" ht="14.4">
      <c r="G970" s="51"/>
      <c r="I970" s="51"/>
      <c r="Z970" s="52"/>
      <c r="AF970" s="51"/>
      <c r="AG970" s="51"/>
      <c r="AH970" s="51"/>
      <c r="AI970" s="51"/>
    </row>
    <row r="971" spans="7:35" ht="14.4">
      <c r="G971" s="51"/>
      <c r="I971" s="51"/>
      <c r="Z971" s="52"/>
      <c r="AF971" s="51"/>
      <c r="AG971" s="51"/>
      <c r="AH971" s="51"/>
      <c r="AI971" s="51"/>
    </row>
    <row r="972" spans="7:35" ht="14.4">
      <c r="G972" s="51"/>
      <c r="I972" s="51"/>
      <c r="Z972" s="52"/>
      <c r="AF972" s="51"/>
      <c r="AG972" s="51"/>
      <c r="AH972" s="51"/>
      <c r="AI972" s="51"/>
    </row>
    <row r="973" spans="7:35" ht="14.4">
      <c r="G973" s="51"/>
      <c r="I973" s="51"/>
      <c r="Z973" s="52"/>
      <c r="AF973" s="51"/>
      <c r="AG973" s="51"/>
      <c r="AH973" s="51"/>
      <c r="AI973" s="51"/>
    </row>
    <row r="974" spans="7:35" ht="14.4">
      <c r="G974" s="51"/>
      <c r="I974" s="51"/>
      <c r="Z974" s="52"/>
      <c r="AF974" s="51"/>
      <c r="AG974" s="51"/>
      <c r="AH974" s="51"/>
      <c r="AI974" s="51"/>
    </row>
    <row r="975" spans="7:35" ht="14.4">
      <c r="G975" s="51"/>
      <c r="I975" s="51"/>
      <c r="Z975" s="52"/>
      <c r="AF975" s="51"/>
      <c r="AG975" s="51"/>
      <c r="AH975" s="51"/>
      <c r="AI975" s="51"/>
    </row>
    <row r="976" spans="7:35" ht="14.4">
      <c r="G976" s="51"/>
      <c r="I976" s="51"/>
      <c r="Z976" s="52"/>
      <c r="AF976" s="51"/>
      <c r="AG976" s="51"/>
      <c r="AH976" s="51"/>
      <c r="AI976" s="51"/>
    </row>
    <row r="977" spans="7:35" ht="14.4">
      <c r="G977" s="51"/>
      <c r="I977" s="51"/>
      <c r="Z977" s="52"/>
      <c r="AF977" s="51"/>
      <c r="AG977" s="51"/>
      <c r="AH977" s="51"/>
      <c r="AI977" s="51"/>
    </row>
    <row r="978" spans="7:35" ht="14.4">
      <c r="G978" s="51"/>
      <c r="I978" s="51"/>
      <c r="Z978" s="52"/>
      <c r="AF978" s="51"/>
      <c r="AG978" s="51"/>
      <c r="AH978" s="51"/>
      <c r="AI978" s="51"/>
    </row>
    <row r="979" spans="7:35" ht="14.4">
      <c r="G979" s="51"/>
      <c r="I979" s="51"/>
      <c r="Z979" s="52"/>
      <c r="AF979" s="51"/>
      <c r="AG979" s="51"/>
      <c r="AH979" s="51"/>
      <c r="AI979" s="51"/>
    </row>
    <row r="980" spans="7:35" ht="14.4">
      <c r="G980" s="51"/>
      <c r="I980" s="51"/>
      <c r="Z980" s="52"/>
      <c r="AF980" s="51"/>
      <c r="AG980" s="51"/>
      <c r="AH980" s="51"/>
      <c r="AI980" s="51"/>
    </row>
    <row r="981" spans="7:35" ht="14.4">
      <c r="G981" s="51"/>
      <c r="I981" s="51"/>
      <c r="Z981" s="52"/>
      <c r="AF981" s="51"/>
      <c r="AG981" s="51"/>
      <c r="AH981" s="51"/>
      <c r="AI981" s="51"/>
    </row>
    <row r="982" spans="7:35" ht="14.4">
      <c r="G982" s="51"/>
      <c r="I982" s="51"/>
      <c r="Z982" s="52"/>
      <c r="AF982" s="51"/>
      <c r="AG982" s="51"/>
      <c r="AH982" s="51"/>
      <c r="AI982" s="51"/>
    </row>
    <row r="983" spans="7:35" ht="14.4">
      <c r="G983" s="51"/>
      <c r="I983" s="51"/>
      <c r="Z983" s="52"/>
      <c r="AF983" s="51"/>
      <c r="AG983" s="51"/>
      <c r="AH983" s="51"/>
      <c r="AI983" s="51"/>
    </row>
    <row r="984" spans="7:35" ht="14.4">
      <c r="G984" s="51"/>
      <c r="I984" s="51"/>
      <c r="Z984" s="52"/>
      <c r="AF984" s="51"/>
      <c r="AG984" s="51"/>
      <c r="AH984" s="51"/>
      <c r="AI984" s="51"/>
    </row>
    <row r="985" spans="7:35" ht="14.4">
      <c r="G985" s="51"/>
      <c r="I985" s="51"/>
      <c r="Z985" s="52"/>
      <c r="AF985" s="51"/>
      <c r="AG985" s="51"/>
      <c r="AH985" s="51"/>
      <c r="AI985" s="51"/>
    </row>
    <row r="986" spans="7:35" ht="14.4">
      <c r="G986" s="51"/>
      <c r="I986" s="51"/>
      <c r="Z986" s="52"/>
      <c r="AF986" s="51"/>
      <c r="AG986" s="51"/>
      <c r="AH986" s="51"/>
      <c r="AI986" s="51"/>
    </row>
    <row r="987" spans="7:35" ht="14.4">
      <c r="G987" s="51"/>
      <c r="I987" s="51"/>
      <c r="Z987" s="52"/>
      <c r="AF987" s="51"/>
      <c r="AG987" s="51"/>
      <c r="AH987" s="51"/>
      <c r="AI987" s="51"/>
    </row>
    <row r="988" spans="7:35" ht="14.4">
      <c r="G988" s="51"/>
      <c r="I988" s="51"/>
      <c r="Z988" s="52"/>
      <c r="AF988" s="51"/>
      <c r="AG988" s="51"/>
      <c r="AH988" s="51"/>
      <c r="AI988" s="51"/>
    </row>
    <row r="989" spans="7:35" ht="14.4">
      <c r="G989" s="51"/>
      <c r="I989" s="51"/>
      <c r="Z989" s="52"/>
      <c r="AF989" s="51"/>
      <c r="AG989" s="51"/>
      <c r="AH989" s="51"/>
      <c r="AI989" s="51"/>
    </row>
    <row r="990" spans="7:35" ht="14.4">
      <c r="G990" s="51"/>
      <c r="I990" s="51"/>
      <c r="Z990" s="52"/>
      <c r="AF990" s="51"/>
      <c r="AG990" s="51"/>
      <c r="AH990" s="51"/>
      <c r="AI990" s="51"/>
    </row>
    <row r="991" spans="7:35" ht="14.4">
      <c r="G991" s="51"/>
      <c r="I991" s="51"/>
      <c r="Z991" s="52"/>
      <c r="AF991" s="51"/>
      <c r="AG991" s="51"/>
      <c r="AH991" s="51"/>
      <c r="AI991" s="51"/>
    </row>
    <row r="992" spans="7:35" ht="14.4">
      <c r="G992" s="51"/>
      <c r="I992" s="51"/>
      <c r="Z992" s="52"/>
      <c r="AF992" s="51"/>
      <c r="AG992" s="51"/>
      <c r="AH992" s="51"/>
      <c r="AI992" s="51"/>
    </row>
    <row r="993" spans="7:35" ht="14.4">
      <c r="G993" s="51"/>
      <c r="I993" s="51"/>
      <c r="Z993" s="52"/>
      <c r="AF993" s="51"/>
      <c r="AG993" s="51"/>
      <c r="AH993" s="51"/>
      <c r="AI993" s="51"/>
    </row>
    <row r="994" spans="7:35" ht="14.4">
      <c r="G994" s="51"/>
      <c r="I994" s="51"/>
      <c r="Z994" s="52"/>
      <c r="AF994" s="51"/>
      <c r="AG994" s="51"/>
      <c r="AH994" s="51"/>
      <c r="AI994" s="51"/>
    </row>
    <row r="995" spans="7:35" ht="14.4">
      <c r="G995" s="51"/>
      <c r="I995" s="51"/>
      <c r="Z995" s="52"/>
      <c r="AF995" s="51"/>
      <c r="AG995" s="51"/>
      <c r="AH995" s="51"/>
      <c r="AI995" s="51"/>
    </row>
    <row r="996" spans="7:35" ht="14.4">
      <c r="G996" s="51"/>
      <c r="I996" s="51"/>
      <c r="Z996" s="52"/>
      <c r="AF996" s="51"/>
      <c r="AG996" s="51"/>
      <c r="AH996" s="51"/>
      <c r="AI996" s="51"/>
    </row>
    <row r="997" spans="7:35" ht="14.4">
      <c r="G997" s="51"/>
      <c r="I997" s="51"/>
      <c r="Z997" s="52"/>
      <c r="AF997" s="51"/>
      <c r="AG997" s="51"/>
      <c r="AH997" s="51"/>
      <c r="AI997" s="51"/>
    </row>
    <row r="998" spans="7:35" ht="14.4">
      <c r="G998" s="51"/>
      <c r="I998" s="51"/>
      <c r="Z998" s="52"/>
      <c r="AF998" s="51"/>
      <c r="AG998" s="51"/>
      <c r="AH998" s="51"/>
      <c r="AI998" s="51"/>
    </row>
    <row r="999" spans="7:35" ht="14.4">
      <c r="G999" s="51"/>
      <c r="I999" s="51"/>
      <c r="Z999" s="52"/>
      <c r="AF999" s="51"/>
      <c r="AG999" s="51"/>
      <c r="AH999" s="51"/>
      <c r="AI999" s="51"/>
    </row>
    <row r="1000" spans="7:35" ht="14.4">
      <c r="G1000" s="51"/>
      <c r="I1000" s="51"/>
      <c r="Z1000" s="52"/>
      <c r="AF1000" s="51"/>
      <c r="AG1000" s="51"/>
      <c r="AH1000" s="51"/>
      <c r="AI1000" s="51"/>
    </row>
    <row r="1001" spans="7:35" ht="14.4">
      <c r="G1001" s="51"/>
      <c r="I1001" s="51"/>
      <c r="Z1001" s="52"/>
      <c r="AF1001" s="51"/>
      <c r="AG1001" s="51"/>
      <c r="AH1001" s="51"/>
      <c r="AI1001" s="51"/>
    </row>
  </sheetData>
  <mergeCells count="9">
    <mergeCell ref="AF1:AI1"/>
    <mergeCell ref="A163:X163"/>
    <mergeCell ref="A164:X164"/>
    <mergeCell ref="Z163:AE163"/>
    <mergeCell ref="Z164:AE164"/>
    <mergeCell ref="A1:Y2"/>
    <mergeCell ref="Z1:AA1"/>
    <mergeCell ref="AB1:AC1"/>
    <mergeCell ref="AD1:AE1"/>
  </mergeCells>
  <hyperlinks>
    <hyperlink ref="Z1" r:id="rId1"/>
    <hyperlink ref="AB1" r:id="rId2"/>
    <hyperlink ref="AD1" r:id="rId3"/>
    <hyperlink ref="AA4" r:id="rId4"/>
    <hyperlink ref="AE4" r:id="rId5"/>
    <hyperlink ref="AA5" r:id="rId6"/>
    <hyperlink ref="AA6" r:id="rId7"/>
    <hyperlink ref="AA7" r:id="rId8"/>
    <hyperlink ref="AE7" r:id="rId9"/>
    <hyperlink ref="AA8" r:id="rId10"/>
    <hyperlink ref="AE8" r:id="rId11"/>
    <hyperlink ref="AA9" r:id="rId12"/>
    <hyperlink ref="AA10" r:id="rId13"/>
    <hyperlink ref="AC10" r:id="rId14"/>
    <hyperlink ref="AA11" r:id="rId15"/>
    <hyperlink ref="AA12" r:id="rId16"/>
    <hyperlink ref="AA13" r:id="rId17"/>
    <hyperlink ref="AA14" r:id="rId18"/>
    <hyperlink ref="AA15" r:id="rId19"/>
    <hyperlink ref="AA16" r:id="rId20"/>
    <hyperlink ref="AA17" r:id="rId21"/>
    <hyperlink ref="AA18" r:id="rId22"/>
    <hyperlink ref="AA19" r:id="rId23"/>
    <hyperlink ref="AE19" r:id="rId24"/>
    <hyperlink ref="AA20" r:id="rId25"/>
    <hyperlink ref="AE20" r:id="rId26"/>
    <hyperlink ref="AA21" r:id="rId27"/>
    <hyperlink ref="AE21" r:id="rId28"/>
    <hyperlink ref="AA22" r:id="rId29"/>
    <hyperlink ref="AC22" r:id="rId30"/>
    <hyperlink ref="AA23" r:id="rId31"/>
    <hyperlink ref="AA24" r:id="rId32"/>
    <hyperlink ref="AA25" r:id="rId33"/>
    <hyperlink ref="AA26" r:id="rId34"/>
    <hyperlink ref="AE26" r:id="rId35"/>
    <hyperlink ref="AA27" r:id="rId36"/>
    <hyperlink ref="AA28" r:id="rId37"/>
    <hyperlink ref="AA29" r:id="rId38"/>
    <hyperlink ref="AA30" r:id="rId39"/>
    <hyperlink ref="AA31" r:id="rId40"/>
    <hyperlink ref="AA32" r:id="rId41"/>
    <hyperlink ref="AA33" r:id="rId42"/>
    <hyperlink ref="AA35" r:id="rId43"/>
    <hyperlink ref="AA36" r:id="rId44"/>
    <hyperlink ref="AA37" r:id="rId45"/>
    <hyperlink ref="AA38" r:id="rId46"/>
    <hyperlink ref="AA39" r:id="rId47"/>
    <hyperlink ref="AA41" r:id="rId48"/>
    <hyperlink ref="AA42" r:id="rId49"/>
    <hyperlink ref="AC43" r:id="rId50"/>
    <hyperlink ref="AE43" r:id="rId51"/>
    <hyperlink ref="AC44" r:id="rId52"/>
    <hyperlink ref="AC45" r:id="rId53"/>
    <hyperlink ref="AA46" r:id="rId54"/>
    <hyperlink ref="AC46" r:id="rId55"/>
    <hyperlink ref="AA47" r:id="rId56"/>
    <hyperlink ref="AC47" r:id="rId57"/>
    <hyperlink ref="AE47" r:id="rId58"/>
    <hyperlink ref="AA48" r:id="rId59"/>
    <hyperlink ref="AC48" r:id="rId60"/>
    <hyperlink ref="AA49" r:id="rId61"/>
    <hyperlink ref="AA50" r:id="rId62"/>
    <hyperlink ref="AA51" r:id="rId63"/>
    <hyperlink ref="AE51" r:id="rId64"/>
    <hyperlink ref="AA52" r:id="rId65"/>
    <hyperlink ref="AA54" r:id="rId66"/>
    <hyperlink ref="AA55" r:id="rId67"/>
    <hyperlink ref="AA56" r:id="rId68"/>
    <hyperlink ref="AA57" r:id="rId69"/>
    <hyperlink ref="AA58" r:id="rId70"/>
    <hyperlink ref="AA59" r:id="rId71"/>
    <hyperlink ref="AA60" r:id="rId72"/>
    <hyperlink ref="AA61" r:id="rId73"/>
    <hyperlink ref="AA62" r:id="rId74"/>
    <hyperlink ref="AA69" r:id="rId75"/>
    <hyperlink ref="AA70" r:id="rId76"/>
    <hyperlink ref="AA71" r:id="rId77"/>
    <hyperlink ref="AA72" r:id="rId78"/>
    <hyperlink ref="AA73" r:id="rId79"/>
    <hyperlink ref="AA74" r:id="rId80"/>
    <hyperlink ref="AA81" r:id="rId81"/>
    <hyperlink ref="AA82" r:id="rId82"/>
    <hyperlink ref="AC87" r:id="rId83"/>
    <hyperlink ref="AC88" r:id="rId84"/>
    <hyperlink ref="AC89" r:id="rId85"/>
    <hyperlink ref="AA90" r:id="rId86"/>
    <hyperlink ref="AA91" r:id="rId87"/>
    <hyperlink ref="AA92" r:id="rId88"/>
    <hyperlink ref="AA93" r:id="rId89"/>
    <hyperlink ref="AA94" r:id="rId90"/>
    <hyperlink ref="AA95" r:id="rId91"/>
    <hyperlink ref="AA97" r:id="rId92"/>
    <hyperlink ref="AA98" r:id="rId93"/>
    <hyperlink ref="AA99" r:id="rId94"/>
    <hyperlink ref="AA100" r:id="rId95"/>
    <hyperlink ref="AA101" r:id="rId96"/>
    <hyperlink ref="AC101" r:id="rId97"/>
    <hyperlink ref="AA102" r:id="rId98"/>
    <hyperlink ref="AC102" r:id="rId99"/>
    <hyperlink ref="AA103" r:id="rId100"/>
    <hyperlink ref="AA104" r:id="rId101"/>
    <hyperlink ref="AA105" r:id="rId102"/>
    <hyperlink ref="AA106" r:id="rId103"/>
    <hyperlink ref="AC106" r:id="rId104"/>
    <hyperlink ref="AA107" r:id="rId105"/>
    <hyperlink ref="AC107" r:id="rId106"/>
    <hyperlink ref="AA108" r:id="rId107"/>
    <hyperlink ref="AC108" r:id="rId108"/>
    <hyperlink ref="AA109" r:id="rId109"/>
    <hyperlink ref="AA110" r:id="rId110"/>
    <hyperlink ref="AC110" r:id="rId111"/>
    <hyperlink ref="AA111" r:id="rId112"/>
    <hyperlink ref="AC111" r:id="rId113"/>
    <hyperlink ref="AA112" r:id="rId114"/>
    <hyperlink ref="AC112" r:id="rId115"/>
    <hyperlink ref="AC114" r:id="rId116"/>
    <hyperlink ref="AE114" r:id="rId117"/>
    <hyperlink ref="AA115" r:id="rId118"/>
    <hyperlink ref="AC115" r:id="rId119"/>
    <hyperlink ref="AA116" r:id="rId120"/>
    <hyperlink ref="AE116" r:id="rId121"/>
    <hyperlink ref="AA117" r:id="rId122"/>
    <hyperlink ref="AA118" r:id="rId123"/>
    <hyperlink ref="AA119" r:id="rId124"/>
    <hyperlink ref="AE119" r:id="rId125"/>
    <hyperlink ref="AA120" r:id="rId126"/>
    <hyperlink ref="AA121" r:id="rId127"/>
    <hyperlink ref="AA122" r:id="rId128"/>
    <hyperlink ref="AA124" r:id="rId129"/>
    <hyperlink ref="AA125" r:id="rId130"/>
    <hyperlink ref="AA126" r:id="rId131"/>
    <hyperlink ref="AA127" r:id="rId132"/>
    <hyperlink ref="AA128" r:id="rId133"/>
    <hyperlink ref="AA129" r:id="rId134"/>
    <hyperlink ref="AA130" r:id="rId135"/>
    <hyperlink ref="AC130" r:id="rId136"/>
    <hyperlink ref="AA132" r:id="rId137"/>
    <hyperlink ref="AE132" r:id="rId138"/>
    <hyperlink ref="AA133" r:id="rId139"/>
    <hyperlink ref="AE133" r:id="rId140"/>
    <hyperlink ref="AA134" r:id="rId141"/>
    <hyperlink ref="AE134" r:id="rId142"/>
    <hyperlink ref="AA135" r:id="rId143"/>
    <hyperlink ref="AA136" r:id="rId144"/>
    <hyperlink ref="AA137" r:id="rId145"/>
    <hyperlink ref="AC137" r:id="rId146"/>
    <hyperlink ref="AE137" r:id="rId147"/>
    <hyperlink ref="AA138" r:id="rId148"/>
    <hyperlink ref="AA139" r:id="rId149"/>
    <hyperlink ref="AA140" r:id="rId150"/>
    <hyperlink ref="AA141" r:id="rId151"/>
    <hyperlink ref="AA142" r:id="rId152"/>
    <hyperlink ref="AA143" r:id="rId153"/>
    <hyperlink ref="AE143" r:id="rId154"/>
    <hyperlink ref="AA144" r:id="rId155"/>
    <hyperlink ref="AA145" r:id="rId156"/>
    <hyperlink ref="AC145" r:id="rId157"/>
    <hyperlink ref="AE145" r:id="rId158"/>
    <hyperlink ref="AA146" r:id="rId159"/>
    <hyperlink ref="AC146" r:id="rId160"/>
    <hyperlink ref="AE146" r:id="rId161"/>
    <hyperlink ref="AA147" r:id="rId162"/>
    <hyperlink ref="AA148" r:id="rId163"/>
    <hyperlink ref="AA149" r:id="rId164"/>
    <hyperlink ref="AE149" r:id="rId165"/>
    <hyperlink ref="AA150" r:id="rId166"/>
    <hyperlink ref="AC150" r:id="rId167"/>
    <hyperlink ref="AA151" r:id="rId168"/>
    <hyperlink ref="AE151" r:id="rId169"/>
    <hyperlink ref="AA152" r:id="rId170"/>
    <hyperlink ref="AA153" r:id="rId171"/>
    <hyperlink ref="AA154" r:id="rId172"/>
    <hyperlink ref="AA155" r:id="rId173"/>
    <hyperlink ref="AA156" r:id="rId174"/>
    <hyperlink ref="AA157" r:id="rId175"/>
    <hyperlink ref="AE157" r:id="rId176"/>
    <hyperlink ref="AA158" r:id="rId177"/>
    <hyperlink ref="AC158" r:id="rId178"/>
    <hyperlink ref="AE158" r:id="rId179"/>
    <hyperlink ref="AA159" r:id="rId180"/>
    <hyperlink ref="AA160" r:id="rId181"/>
    <hyperlink ref="AA161" r:id="rId182"/>
    <hyperlink ref="AA162" r:id="rId183"/>
    <hyperlink ref="AE162" r:id="rId18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SG</vt:lpstr>
      <vt:lpstr>SG Pricing Mainsheet</vt:lpstr>
      <vt:lpstr>Sheet4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Trupti Parab</dc:creator>
  <cp:lastModifiedBy>Dhinesh</cp:lastModifiedBy>
  <cp:revision/>
  <dcterms:created xsi:type="dcterms:W3CDTF">2015-06-05T18:17:00Z</dcterms:created>
  <dcterms:modified xsi:type="dcterms:W3CDTF">2025-11-06T05:38:01Z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A43FFE7BB2624A12863189B2559CDC9C_13</vt:lpwstr>
  </property>
  <property fmtid="{D5CDD505-2E9C-101B-9397-08002B2CF9AE}" pid="3" name="KSOProductBuildVer">
    <vt:lpwstr>1033-12.2.0.20326</vt:lpwstr>
  </property>
</Properties>
</file>